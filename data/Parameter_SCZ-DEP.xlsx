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1\Desktop\Charite\Publikationen\Paper\Frontiers - CR HRJSD Schizophrenia Depression\Results\"/>
    </mc:Choice>
  </mc:AlternateContent>
  <xr:revisionPtr revIDLastSave="0" documentId="13_ncr:1_{66365801-7335-4361-A48A-742A9D370127}" xr6:coauthVersionLast="36" xr6:coauthVersionMax="36" xr10:uidLastSave="{00000000-0000-0000-0000-000000000000}"/>
  <bookViews>
    <workbookView xWindow="0" yWindow="0" windowWidth="28800" windowHeight="11625" activeTab="1" xr2:uid="{00000000-000D-0000-FFFF-FFFF00000000}"/>
  </bookViews>
  <sheets>
    <sheet name="Gesamttabelle_aktuell_1" sheetId="1" r:id="rId1"/>
    <sheet name="Gesamttabelle_aktuell_1 (2)" sheetId="2" r:id="rId2"/>
  </sheets>
  <calcPr calcId="191029"/>
</workbook>
</file>

<file path=xl/calcChain.xml><?xml version="1.0" encoding="utf-8"?>
<calcChain xmlns="http://schemas.openxmlformats.org/spreadsheetml/2006/main">
  <c r="G122" i="2" l="1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63" i="2" l="1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102" i="2"/>
  <c r="G103" i="2"/>
  <c r="G104" i="2"/>
  <c r="G83" i="2"/>
  <c r="G105" i="2"/>
  <c r="G106" i="2"/>
  <c r="G107" i="2"/>
  <c r="G108" i="2"/>
  <c r="G109" i="2"/>
  <c r="G110" i="2"/>
  <c r="G84" i="2"/>
  <c r="G111" i="2"/>
  <c r="G112" i="2"/>
  <c r="G113" i="2"/>
  <c r="G85" i="2"/>
  <c r="G114" i="2"/>
  <c r="G115" i="2"/>
  <c r="G116" i="2"/>
  <c r="G86" i="2"/>
  <c r="G87" i="2"/>
  <c r="G88" i="2"/>
  <c r="G89" i="2"/>
  <c r="G117" i="2"/>
  <c r="G90" i="2"/>
  <c r="G91" i="2"/>
  <c r="G118" i="2"/>
  <c r="G92" i="2"/>
  <c r="G119" i="2"/>
  <c r="G120" i="2"/>
  <c r="G93" i="2"/>
  <c r="G94" i="2"/>
  <c r="G95" i="2"/>
  <c r="G96" i="2"/>
  <c r="G97" i="2"/>
  <c r="G98" i="2"/>
  <c r="G121" i="2"/>
  <c r="G99" i="2"/>
  <c r="G100" i="2"/>
  <c r="G1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Andy</author>
  </authors>
  <commentList>
    <comment ref="B1" authorId="0" shapeId="0" xr:uid="{672AACCE-17D1-4D9D-9202-A11E0FFBD697}">
      <text>
        <r>
          <rPr>
            <b/>
            <sz val="9"/>
            <color indexed="81"/>
            <rFont val="Segoe UI"/>
            <charset val="1"/>
          </rPr>
          <t xml:space="preserve">Andy:
0=HC
1=unmediziert
2=SSRI
3=SNRI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Andy</author>
  </authors>
  <commentList>
    <comment ref="B1" authorId="0" shapeId="0" xr:uid="{F68713DC-DE6B-4780-A4B3-121A88BEC9DB}">
      <text>
        <r>
          <rPr>
            <b/>
            <sz val="9"/>
            <color indexed="81"/>
            <rFont val="Segoe UI"/>
            <charset val="1"/>
          </rPr>
          <t xml:space="preserve">0=KON1 (vs. DEP, vs. DEP1+DEP2, vs. DEP1, vs. DEP2)
1=DEP unmediziert (vs. DEP1, vs. DEP2)
2=DEP1 SSRI
3=DEP2 SNRI
4=KON2 (vs. SCZ)
5=SCZ
</t>
        </r>
      </text>
    </comment>
  </commentList>
</comments>
</file>

<file path=xl/sharedStrings.xml><?xml version="1.0" encoding="utf-8"?>
<sst xmlns="http://schemas.openxmlformats.org/spreadsheetml/2006/main" count="1197" uniqueCount="460">
  <si>
    <t>ID</t>
  </si>
  <si>
    <t>Gruppe</t>
  </si>
  <si>
    <t>Diagnose</t>
  </si>
  <si>
    <t>Med.gruppe</t>
  </si>
  <si>
    <t>Alter</t>
  </si>
  <si>
    <t>Sex</t>
  </si>
  <si>
    <t>Gewicht</t>
  </si>
  <si>
    <t>Größe</t>
  </si>
  <si>
    <t>Realschulabschluss_Sonderschule</t>
  </si>
  <si>
    <t>Abitur</t>
  </si>
  <si>
    <t>Raucher</t>
  </si>
  <si>
    <t>Rauchverhalten</t>
  </si>
  <si>
    <t>CO_vorher</t>
  </si>
  <si>
    <t>CO_nachher</t>
  </si>
  <si>
    <t>Kaffee</t>
  </si>
  <si>
    <t>Tassen_pro_Tag</t>
  </si>
  <si>
    <t>Alkohol</t>
  </si>
  <si>
    <t>Toxikologie</t>
  </si>
  <si>
    <t>aktueller_Drogenkonsum</t>
  </si>
  <si>
    <t>BMI</t>
  </si>
  <si>
    <t>SSRI</t>
  </si>
  <si>
    <t>SNRI_NaSSA_NARI</t>
  </si>
  <si>
    <t>Medikament</t>
  </si>
  <si>
    <t>Kommentar</t>
  </si>
  <si>
    <t>stationärer_Aufenthalt</t>
  </si>
  <si>
    <t>Datum_der_Messung</t>
  </si>
  <si>
    <t>Medieinnahme_Dauer_Tage</t>
  </si>
  <si>
    <t>Erkrankungsdauer_aktuell</t>
  </si>
  <si>
    <t>Vereinheitlichung_Erkrankungsdauer_aktuell_in_Wochen</t>
  </si>
  <si>
    <t>Erstdiagnose_Datum</t>
  </si>
  <si>
    <t>Erstdiagnose_Jahr</t>
  </si>
  <si>
    <t>Erstmanifestation_Alter</t>
  </si>
  <si>
    <t>Erkrankungsdauer_Jahre</t>
  </si>
  <si>
    <t>Auffälligkeiten_Bewertung</t>
  </si>
  <si>
    <t>Auffälligkeiten_Kommentar</t>
  </si>
  <si>
    <t>Fehlsichtigkeit</t>
  </si>
  <si>
    <t>Auge_links_dpt</t>
  </si>
  <si>
    <t>Auge_rechts_dpt</t>
  </si>
  <si>
    <t>Kommentar_Fehlsichtigkeit</t>
  </si>
  <si>
    <t>BDI</t>
  </si>
  <si>
    <t>ln_BDI</t>
  </si>
  <si>
    <t>HAMD</t>
  </si>
  <si>
    <t>ln_HAMD</t>
  </si>
  <si>
    <t>GS</t>
  </si>
  <si>
    <t>WM</t>
  </si>
  <si>
    <t>RU</t>
  </si>
  <si>
    <t>Epworth_Sleepiness_Scale</t>
  </si>
  <si>
    <t>Schläfrigkeit_SSSvor</t>
  </si>
  <si>
    <t>ln_Schläfrigkeit_vor</t>
  </si>
  <si>
    <t>Schläfrigkeit_SSSnach</t>
  </si>
  <si>
    <t>ln_Schläfrigkeit_nach</t>
  </si>
  <si>
    <t>ID_A</t>
  </si>
  <si>
    <t>mHR</t>
  </si>
  <si>
    <t>sdNN</t>
  </si>
  <si>
    <t>RMSSD</t>
  </si>
  <si>
    <t>K216</t>
  </si>
  <si>
    <t>ja</t>
  </si>
  <si>
    <t>nein</t>
  </si>
  <si>
    <t>Pille, momentan: Metronidazol</t>
  </si>
  <si>
    <t>#NULL!</t>
  </si>
  <si>
    <t>ESS 13 Punkte</t>
  </si>
  <si>
    <t>K217</t>
  </si>
  <si>
    <t>Pille</t>
  </si>
  <si>
    <t>ESS 10 Punkte</t>
  </si>
  <si>
    <t>K218</t>
  </si>
  <si>
    <t>K219</t>
  </si>
  <si>
    <t>Neurodermitis; periorale Dermatitis</t>
  </si>
  <si>
    <t>K223</t>
  </si>
  <si>
    <t>K224</t>
  </si>
  <si>
    <t>K231</t>
  </si>
  <si>
    <t>K234</t>
  </si>
  <si>
    <t>ESS 11 Punkte</t>
  </si>
  <si>
    <t>K235</t>
  </si>
  <si>
    <t>K237</t>
  </si>
  <si>
    <t>stark myop</t>
  </si>
  <si>
    <t>K238</t>
  </si>
  <si>
    <t>möchte unbedingt über Gesamtauswertung der Studie informiert werden</t>
  </si>
  <si>
    <t>Werte geschätzt von Probandin</t>
  </si>
  <si>
    <t>K239</t>
  </si>
  <si>
    <t>K240</t>
  </si>
  <si>
    <t>K241</t>
  </si>
  <si>
    <t>bis vor 3 Wochen starker Rauchen (1Pck./d)</t>
  </si>
  <si>
    <t>K242</t>
  </si>
  <si>
    <t>Hochtiefschielfunktion bekannt (v.a. rechts)</t>
  </si>
  <si>
    <t>Fehlsichtigkeit+Hochtiefschielfunktion rechts</t>
  </si>
  <si>
    <t>stark weitsichtig</t>
  </si>
  <si>
    <t>K243</t>
  </si>
  <si>
    <t>iView anfangs defekt</t>
  </si>
  <si>
    <t>anfangs iView defekt, dann normal</t>
  </si>
  <si>
    <t>K244</t>
  </si>
  <si>
    <t>Kontaktlinsen</t>
  </si>
  <si>
    <t>K246</t>
  </si>
  <si>
    <t>momentan Udima 50mg (Antibiotikum); weitsichtig</t>
  </si>
  <si>
    <t>hyperop, aber wusste nicht, wieviele dpt</t>
  </si>
  <si>
    <t>K247</t>
  </si>
  <si>
    <t>K248</t>
  </si>
  <si>
    <t>leichte Struma bekannt</t>
  </si>
  <si>
    <t>K249</t>
  </si>
  <si>
    <t>K250</t>
  </si>
  <si>
    <t>ESS: 10 Punkte; Pupille rechts nicht gemessen?!</t>
  </si>
  <si>
    <t>Pupille rechts nicht gemessen?!</t>
  </si>
  <si>
    <t>K251</t>
  </si>
  <si>
    <t>ESS: 10 Punkte</t>
  </si>
  <si>
    <t>K252</t>
  </si>
  <si>
    <t>iView defekt?</t>
  </si>
  <si>
    <t>Pupillen teilw. nciht aufgezeichnet, obwohl wach</t>
  </si>
  <si>
    <t>K257</t>
  </si>
  <si>
    <t>K258</t>
  </si>
  <si>
    <t>K259</t>
  </si>
  <si>
    <t>Mutter (62 J.) depressiv laut Probandin</t>
  </si>
  <si>
    <t>EKG unregelmäßig; Mutter der Probandin sei depressiv</t>
  </si>
  <si>
    <t>K260</t>
  </si>
  <si>
    <t>L-Thyroxin (SD-Unterfunktion), Hormonspirale</t>
  </si>
  <si>
    <t>Hypothyreose bekannt</t>
  </si>
  <si>
    <t>K261</t>
  </si>
  <si>
    <t>K262</t>
  </si>
  <si>
    <t>ESS: 11 Punkte</t>
  </si>
  <si>
    <t>K263</t>
  </si>
  <si>
    <t>adipös</t>
  </si>
  <si>
    <t>ESS: 12 Punkte</t>
  </si>
  <si>
    <t>K264</t>
  </si>
  <si>
    <t>K265</t>
  </si>
  <si>
    <t>Pille; Endometriose bekannt; vor 2 Jahren Thrombose</t>
  </si>
  <si>
    <t>K266</t>
  </si>
  <si>
    <t>K268</t>
  </si>
  <si>
    <t>K270</t>
  </si>
  <si>
    <t>Penicillinallergie</t>
  </si>
  <si>
    <t>Programmfehler &gt; frgl. Aufzeichnung</t>
  </si>
  <si>
    <t>Werte geschätzt von Proband</t>
  </si>
  <si>
    <t>K271</t>
  </si>
  <si>
    <t>K273</t>
  </si>
  <si>
    <t>K274</t>
  </si>
  <si>
    <t>Nuvaring; V.a. Fibromyalgie</t>
  </si>
  <si>
    <t>Werte geschätzt durch Probandin</t>
  </si>
  <si>
    <t>K275</t>
  </si>
  <si>
    <t>Onkel in psychiatrischer Behandlung wegen Alkohol und Depression</t>
  </si>
  <si>
    <t>Fam.anamnese positiv</t>
  </si>
  <si>
    <t>K06</t>
  </si>
  <si>
    <t>K11</t>
  </si>
  <si>
    <t>K12</t>
  </si>
  <si>
    <t>K26</t>
  </si>
  <si>
    <t>K28</t>
  </si>
  <si>
    <t>K30</t>
  </si>
  <si>
    <t>K34</t>
  </si>
  <si>
    <t>K41</t>
  </si>
  <si>
    <t>K50</t>
  </si>
  <si>
    <t>K66</t>
  </si>
  <si>
    <t>K68</t>
  </si>
  <si>
    <t>K89</t>
  </si>
  <si>
    <t>K126</t>
  </si>
  <si>
    <t>K127</t>
  </si>
  <si>
    <t>K128</t>
  </si>
  <si>
    <t>K135</t>
  </si>
  <si>
    <t>K141</t>
  </si>
  <si>
    <t>K147</t>
  </si>
  <si>
    <t>K152</t>
  </si>
  <si>
    <t>K160</t>
  </si>
  <si>
    <t>'D03</t>
  </si>
  <si>
    <t>'D04</t>
  </si>
  <si>
    <t>'D09</t>
  </si>
  <si>
    <t>'D16</t>
  </si>
  <si>
    <t>'D20</t>
  </si>
  <si>
    <t>'D23</t>
  </si>
  <si>
    <t>'D24</t>
  </si>
  <si>
    <t>'D25</t>
  </si>
  <si>
    <t>'D30</t>
  </si>
  <si>
    <t>'D38</t>
  </si>
  <si>
    <t>'D40</t>
  </si>
  <si>
    <t>'D42</t>
  </si>
  <si>
    <t>'D46</t>
  </si>
  <si>
    <t>'D47</t>
  </si>
  <si>
    <t>'D48</t>
  </si>
  <si>
    <t>'D50</t>
  </si>
  <si>
    <t>'D53</t>
  </si>
  <si>
    <t>'D58</t>
  </si>
  <si>
    <t>'D59</t>
  </si>
  <si>
    <t>'D60</t>
  </si>
  <si>
    <t>DP02</t>
  </si>
  <si>
    <t>Cipralex 10mg 1,5-0-0-0</t>
  </si>
  <si>
    <t>L-Thyrox 25mikrogramm 1-0-0-0; vorwiegend Zwangsgedanken oder Grübelzwang</t>
  </si>
  <si>
    <t>5.11.2015-29.12.2015</t>
  </si>
  <si>
    <t>seit 13-14 Monaten</t>
  </si>
  <si>
    <t>Nov. 2015</t>
  </si>
  <si>
    <t>BDI: nur 6 Punkte; Hamilton aber 15 Punkte &gt; leichte Depression</t>
  </si>
  <si>
    <t>DP09</t>
  </si>
  <si>
    <t>Cipralex 10mg 1-0-0-0</t>
  </si>
  <si>
    <t>Z.n. Suizidversuch (Alkoholintox.)</t>
  </si>
  <si>
    <t>07.01.2016 bis 24.03.2016</t>
  </si>
  <si>
    <t>seit 6 Monaten</t>
  </si>
  <si>
    <t>Jan 16</t>
  </si>
  <si>
    <t>DP18</t>
  </si>
  <si>
    <t>Citalopram 20mg 1,5-0-0-0</t>
  </si>
  <si>
    <t>Bifiteral Sirup 0-10ml-0-0; Zwangsgedanken</t>
  </si>
  <si>
    <t>04.05.2016 bis 06.07.2016</t>
  </si>
  <si>
    <t>seit 7 Monaten</t>
  </si>
  <si>
    <t>Mai 2016 (stat. Aufenthalt)</t>
  </si>
  <si>
    <t>DP22</t>
  </si>
  <si>
    <t>Z.n. Suizidversuch</t>
  </si>
  <si>
    <t>30.05.2016 bis 22.07.2016</t>
  </si>
  <si>
    <t>seit 2 Wochen</t>
  </si>
  <si>
    <t>BDI: nur 4 Punkte</t>
  </si>
  <si>
    <t>DP29</t>
  </si>
  <si>
    <t>Sertralin 50mg 3-0-0-0</t>
  </si>
  <si>
    <t>seit gestern Abend erstmals Dipiperon 2,5mg 0-0-0-1</t>
  </si>
  <si>
    <t>04.08.2016 bis 27.10.2016 stationärer und bis 11.11.2016 nachstat.</t>
  </si>
  <si>
    <t>seit 2 Monaten</t>
  </si>
  <si>
    <t>August 2016 (stat. Aufenthalt)</t>
  </si>
  <si>
    <t>abends vor der Messung einmalig Dipi 2,5mg</t>
  </si>
  <si>
    <t>DP31</t>
  </si>
  <si>
    <t>V.a. emotional-instabile Persönlichkeitsstörung</t>
  </si>
  <si>
    <t>21.07.2016 bis 18.10.2016</t>
  </si>
  <si>
    <t>seit 4 Tagen</t>
  </si>
  <si>
    <t>Jul 16</t>
  </si>
  <si>
    <t>V.a. emotional-instabile Persönlichkeitsstörung; mittelgradige depressive Episode</t>
  </si>
  <si>
    <t>Werte geschätzt</t>
  </si>
  <si>
    <t>DP32</t>
  </si>
  <si>
    <t>Cipralex 10mg 2-0-0-0</t>
  </si>
  <si>
    <t>Quilonum 450mg 1-0-1,5-0; manische Depression bekannt</t>
  </si>
  <si>
    <t>16.06.2016 bis 29.09.2016</t>
  </si>
  <si>
    <t>seit 4 Monaten</t>
  </si>
  <si>
    <t>2013</t>
  </si>
  <si>
    <t>manische Depression bekannt</t>
  </si>
  <si>
    <t>DP34</t>
  </si>
  <si>
    <t>01.09.2016 bis 07.10.2016</t>
  </si>
  <si>
    <t>1999</t>
  </si>
  <si>
    <t>BDI: 1 Punkt; HAMD: 12 Punkte</t>
  </si>
  <si>
    <t>Lesebrille</t>
  </si>
  <si>
    <t>DP36</t>
  </si>
  <si>
    <t>04.08.2016 bis 02.11.2016</t>
  </si>
  <si>
    <t>einige Wochen</t>
  </si>
  <si>
    <t>BDI: 7 Punkte</t>
  </si>
  <si>
    <t>DP37</t>
  </si>
  <si>
    <t>Sertralin 50mg 1-0-0-0</t>
  </si>
  <si>
    <t>Migräne</t>
  </si>
  <si>
    <t>29.09.2016 bis 29.11.2016 stationär und bis 12.12.2016 nachstationär</t>
  </si>
  <si>
    <t>seit 5 Monaten</t>
  </si>
  <si>
    <t>Sept. 2016 (stat. Aufenthalt)</t>
  </si>
  <si>
    <t>EKG auffällig?</t>
  </si>
  <si>
    <t>DP39</t>
  </si>
  <si>
    <t>DD: Panikstörung, Anpassungsstörung; seborrhöische Dermatitis</t>
  </si>
  <si>
    <t>12.07.2016 bis 18.10.2016</t>
  </si>
  <si>
    <t>seit einiger Zeit</t>
  </si>
  <si>
    <t>DP42</t>
  </si>
  <si>
    <t>12.10.2016 bis 09.11.2016</t>
  </si>
  <si>
    <t>Okt. 2016 (stat. Aufenthalt)</t>
  </si>
  <si>
    <t>BDI: 6 Punkte</t>
  </si>
  <si>
    <t>DP44</t>
  </si>
  <si>
    <t>Sertralin 50mg 2-0-0-0</t>
  </si>
  <si>
    <t>L-Thyrox 100mikrog 1-0-0-0</t>
  </si>
  <si>
    <t>24.09.2016 bis 19.11.2016 stationär und bis 02.12.2016 nachstat.</t>
  </si>
  <si>
    <t>seit 3 Monaten</t>
  </si>
  <si>
    <t>2014? (aber eigentl. Nie vor 2016 diagnostiziert!, obwohl hier steht, dass rezid</t>
  </si>
  <si>
    <t>stark kurzsichtig</t>
  </si>
  <si>
    <t>DP45</t>
  </si>
  <si>
    <t>Citalopram 20mg 1-0-0-0</t>
  </si>
  <si>
    <t>02.12.2016 bis 21.02.2017</t>
  </si>
  <si>
    <t>DP47</t>
  </si>
  <si>
    <t>ND: Polytoxikomanie; Angststörung; Psoriasis; b.B. Paracetamol 500mg</t>
  </si>
  <si>
    <t>05.01.2017 bis 28.03.2017 stationär und bis 11.4.2017 teilstat.</t>
  </si>
  <si>
    <t>seit einigen Wochen</t>
  </si>
  <si>
    <t>Jan. 2017 (stat. Aufenthalt)</t>
  </si>
  <si>
    <t>DP48</t>
  </si>
  <si>
    <t>Sertralin 50mg 2-2-0-0</t>
  </si>
  <si>
    <t>L-Thyrox 25mikrog 1-0-0; ND: Agoraphobie, Panikstörung</t>
  </si>
  <si>
    <t>08.12.2016 bis 14.03.2017</t>
  </si>
  <si>
    <t>Dez. 2016 (stat. Aufenthalt)</t>
  </si>
  <si>
    <t>Pat. wusste nicht, ob kurz- oder weitsichtig, aber wohl eher weitsichtig</t>
  </si>
  <si>
    <t>DP49</t>
  </si>
  <si>
    <t>Sertralin 50mg 4-0-0-0</t>
  </si>
  <si>
    <t>Zwangsstörung mit Zwangsgedanken und -handlungen; kombinierte Persönlichkeitsstörung; Dermatomykose (Behandlung u.a. mit Terzolin)</t>
  </si>
  <si>
    <t>04.04.2017 bis 06.07.2017</t>
  </si>
  <si>
    <t>Zwangserkrankung sei</t>
  </si>
  <si>
    <t>Sept. 2016 (ambulant)</t>
  </si>
  <si>
    <t>seit 5 Jahren Zwangssymptomatik, seit 2 Jahren verstärkt, seit Sept. 2016 in ambulanter Therapie</t>
  </si>
  <si>
    <t>DP52</t>
  </si>
  <si>
    <t>Agoraphobie mit Panikstörung; ekzematöse Tinea manuum</t>
  </si>
  <si>
    <t>14.03.2017 bis 23.05.2017 stationär und bis 02.06.2017 teilstat.</t>
  </si>
  <si>
    <t>DP53</t>
  </si>
  <si>
    <t>Cipralex 100mg 2-0-0-0</t>
  </si>
  <si>
    <t>Panik- und Angststörung; laut Pat. von Geburt an Fehlfunktion Auge rechts: Blickabweichung nach rechts; Messung schwierig, da i-Tracker nach 7 min. ausgefallen ist; Blutdruck dauerhaft sehr niedrig</t>
  </si>
  <si>
    <t>30.03.2017 bis 26.05.2017</t>
  </si>
  <si>
    <t>seit 8 Monaten</t>
  </si>
  <si>
    <t>März 2017 (i.R. stat. Aufenthalt)</t>
  </si>
  <si>
    <t>Lesebrille; rechtes Auge Blickabweichung nach lateral</t>
  </si>
  <si>
    <t>DP54</t>
  </si>
  <si>
    <t>15.3.2017 bis 07.06.2017</t>
  </si>
  <si>
    <t>März 2017</t>
  </si>
  <si>
    <t>momentan rezidivierende Episode; "seit Jahren Winterdepression"</t>
  </si>
  <si>
    <t>DP04</t>
  </si>
  <si>
    <t>Venlafaxin 75mg 2-1-0-0</t>
  </si>
  <si>
    <t>Blutdruck erst nach ca. 4min gemessen</t>
  </si>
  <si>
    <t>02.12.2015 bis 24.02.2016; bis 03.03.16 nachstationär</t>
  </si>
  <si>
    <t>2001???</t>
  </si>
  <si>
    <t>RR erst nach ca. 4min gemessen</t>
  </si>
  <si>
    <t>DP06</t>
  </si>
  <si>
    <t>Remergil 30mg 0-0-0-1</t>
  </si>
  <si>
    <t>21.12.2015 bis 22.01.2016</t>
  </si>
  <si>
    <t>seit 12 Monaten</t>
  </si>
  <si>
    <t>Dez 15</t>
  </si>
  <si>
    <t>BDI: 2 Punkte</t>
  </si>
  <si>
    <t>DP08</t>
  </si>
  <si>
    <t>Venlafaxin 75mg 2-0-0-0</t>
  </si>
  <si>
    <t>05.01.2016 bis 29.01.2016</t>
  </si>
  <si>
    <t>2011</t>
  </si>
  <si>
    <t>DP10</t>
  </si>
  <si>
    <t>Sertralin 50mg 1-0-0-0; Remergil 15mg 0-0-0-0,5</t>
  </si>
  <si>
    <t>Symbicort 160/45 Hub 1-0-1-0 (chron. Bronchialasthma)</t>
  </si>
  <si>
    <t>22.01.2016 bis 21.04.2016</t>
  </si>
  <si>
    <t>2006</t>
  </si>
  <si>
    <t>Symbicort tgl. bei chron. Bronchialasthma</t>
  </si>
  <si>
    <t>DP11</t>
  </si>
  <si>
    <t>Cipralex 10mg 1-0-0-0; Remergil 15mg 0-0-0-1</t>
  </si>
  <si>
    <t>20.01.2016 bis 26.02.2016</t>
  </si>
  <si>
    <t>2014</t>
  </si>
  <si>
    <t>DP13</t>
  </si>
  <si>
    <t>Cymbalta 60mg 1-0-0-0</t>
  </si>
  <si>
    <t>Medikinet (Ritalin) 20mg 1-0-0-0 bei ADHS</t>
  </si>
  <si>
    <t>17.02.2016 bis 30.03.2016</t>
  </si>
  <si>
    <t>"seit Tagen"</t>
  </si>
  <si>
    <t>Februar 2016 (i.R. stat. Aufenthalt)</t>
  </si>
  <si>
    <t>Medikinet bei ADHS</t>
  </si>
  <si>
    <t>DP15</t>
  </si>
  <si>
    <t>Venlafaxin 75mg 3-0-0-0; Remergil 15mg 0-0-0-0,5</t>
  </si>
  <si>
    <t>04.04.2016 bis 03.06.2016</t>
  </si>
  <si>
    <t>seit 4 Wochen</t>
  </si>
  <si>
    <t>2009 (amb. Verhaltentherapie)</t>
  </si>
  <si>
    <t>trägt Brille nur beim Autofahren</t>
  </si>
  <si>
    <t>DP16</t>
  </si>
  <si>
    <t>Venlafaxin 75mg 3-0-0-0</t>
  </si>
  <si>
    <t>26.03.2016 bis 01.06.2016 stationär und 02.06.2016 bis 17.06.2016 teilstat.</t>
  </si>
  <si>
    <t>März 2016 (i.R. stat. Aufenthalt)</t>
  </si>
  <si>
    <t>BDI: 4 Punkte</t>
  </si>
  <si>
    <t>DP17</t>
  </si>
  <si>
    <t>Mb. Meulengracht</t>
  </si>
  <si>
    <t>09.04.2016 bis 23.06.2016</t>
  </si>
  <si>
    <t>April 2016 (i.R. stat. Aufenthalt)</t>
  </si>
  <si>
    <t>Atmung unregelmäßig</t>
  </si>
  <si>
    <t>DP19</t>
  </si>
  <si>
    <t>Venlafaxin 75mg 1-1-0-0</t>
  </si>
  <si>
    <t>Pille Jubrele; Faktor-V-Leiden; Z.n. zentralem Cushing-Syndrom</t>
  </si>
  <si>
    <t>22.06.2016 bis 09.09.2016</t>
  </si>
  <si>
    <t>Sommer 2015</t>
  </si>
  <si>
    <t>DP20</t>
  </si>
  <si>
    <t>Venlafaxin 75mg 3-0-0-0; Remergil 30mg 0-0-0-1</t>
  </si>
  <si>
    <t>28.06.2016 bis 15.08.2016</t>
  </si>
  <si>
    <t>2010 (KJP-Aufenthalt)</t>
  </si>
  <si>
    <t>DP21</t>
  </si>
  <si>
    <t>Cipralex 10mg 1,5-0-0-0; Remergil 15mg 0-0-0-1</t>
  </si>
  <si>
    <t>13.06.2016 bis 26.07.2016 stationär und 27.07.2016 bis 05.08.2016 teilstationä</t>
  </si>
  <si>
    <t>Juni 2016 (stat. Aufenthalt)</t>
  </si>
  <si>
    <t>trägt 24h-RR-Gerät &gt; während Ruhemessung nicht gemessen; BDI: 7 Punkte</t>
  </si>
  <si>
    <t>DP23</t>
  </si>
  <si>
    <t>Magnesiocard 2,5mmol 2-2-2-0</t>
  </si>
  <si>
    <t>24.06.2016 bis 06.10.2016</t>
  </si>
  <si>
    <t>2014?</t>
  </si>
  <si>
    <t>DP24</t>
  </si>
  <si>
    <t>10.06.2016 bis 20.07.2016</t>
  </si>
  <si>
    <t>2010</t>
  </si>
  <si>
    <t>DP26</t>
  </si>
  <si>
    <t>25.07.2016 bis 21.09.2016 stationär und bis 05.10.2016 teilstationär</t>
  </si>
  <si>
    <t>Juli 2016 (stat. Aufenthalt)</t>
  </si>
  <si>
    <t>Bluthochdruck auf Stammdatenblatt angegeben &gt; keine Medikation und hier auch keine Auffälligk. bei Messung</t>
  </si>
  <si>
    <t>DP35</t>
  </si>
  <si>
    <t>Sertralin 50mg 3-0-0-0; Remergil 30mg 0-0-0-1</t>
  </si>
  <si>
    <t>möchte über Ergebnisse informiert werden</t>
  </si>
  <si>
    <t>02.08.2016 bis 27.09.2016</t>
  </si>
  <si>
    <t>Jun 16</t>
  </si>
  <si>
    <t>BDI: 5 Punkte</t>
  </si>
  <si>
    <t>DP38</t>
  </si>
  <si>
    <t>L-Thyrox 150 mikrog 1-0-0-0; chron. endogenes Hautekzem; gelegentl. Synkopen; Ataxien; WS-Beeinträchtigungen</t>
  </si>
  <si>
    <t>20.09.2016 bis 29.11.2016</t>
  </si>
  <si>
    <t>seit ein paar Tagen</t>
  </si>
  <si>
    <t>EKG auffällig; Dpt nicht bekannt</t>
  </si>
  <si>
    <t>Pat. wusste nicht, wie viele dpt</t>
  </si>
  <si>
    <t>DP40</t>
  </si>
  <si>
    <t>Venlafaxin 75mg 1-0-0-0; Remergil 15mg 0-0-0-1</t>
  </si>
  <si>
    <t>L-Thyrox 88mikrog 1-0-0-0; Pille; SD-Unterfkt.</t>
  </si>
  <si>
    <t>03.10.2016 bis 18.11.2016 stationär und bis 06.12.2016 teilstat.</t>
  </si>
  <si>
    <t>2004 (mit 18 J.)</t>
  </si>
  <si>
    <t>DP41</t>
  </si>
  <si>
    <t>Venlafaxin 75mg ret. 2-0-0-0</t>
  </si>
  <si>
    <t>L-Thyrox 100mikrog 1-0-0-0; Eisenresorptionsstörung; SD-Unterfkt.; Pat. hat Dissoziationen</t>
  </si>
  <si>
    <t>18.10.2016 bis 08.12.2016</t>
  </si>
  <si>
    <t>2002</t>
  </si>
  <si>
    <t>DP51</t>
  </si>
  <si>
    <t>Venlafaxin 75mg 2-2-0-0</t>
  </si>
  <si>
    <t>02.02.2017 bis 16.05.2017</t>
  </si>
  <si>
    <t>seit 6 Monaten; Vers</t>
  </si>
  <si>
    <t>Herbstdepression vor ein paar Jahren, keine Suizidversuche bisher; in ambulanter Therapie (Medikation: Citalopram 40mg  1-0-0-0 seit 11.01.2017, Mirtazapin 15mg 0-0-0-1, Tavor b.B. seit 25.01.2017 (zweimalige Einnahme) )</t>
  </si>
  <si>
    <t>Äquivalenzdosis Berechnung</t>
  </si>
  <si>
    <t>D53</t>
  </si>
  <si>
    <t>insp_time</t>
  </si>
  <si>
    <t>exsp_time</t>
  </si>
  <si>
    <t>insp-2-exsp</t>
  </si>
  <si>
    <t>meanNN_BBI</t>
  </si>
  <si>
    <t>sdNN_BBI</t>
  </si>
  <si>
    <t>meanNN_RESPf</t>
  </si>
  <si>
    <t>sdNN_RESPf</t>
  </si>
  <si>
    <t>BF</t>
  </si>
  <si>
    <t>RESPf-E0_tau0</t>
  </si>
  <si>
    <t>RESPf-E1_tau0</t>
  </si>
  <si>
    <t>RESPf-E2_tau0</t>
  </si>
  <si>
    <t>RESPf-LU1_tau0</t>
  </si>
  <si>
    <t>RESPf-LD1_tau0</t>
  </si>
  <si>
    <t>RESPf-LA1_tau0</t>
  </si>
  <si>
    <t>RESPf-P_tau0</t>
  </si>
  <si>
    <t>RESPf-V_tau0</t>
  </si>
  <si>
    <t>BBI-E0_tau0</t>
  </si>
  <si>
    <t>BBI-E1_tau0</t>
  </si>
  <si>
    <t>BBI-E2_tau0</t>
  </si>
  <si>
    <t>BBI-LU1_tau0</t>
  </si>
  <si>
    <t>BBI-LD1_tau0</t>
  </si>
  <si>
    <t>BBI-LA1_tau0</t>
  </si>
  <si>
    <t>BBI-P_tau0</t>
  </si>
  <si>
    <t>BBI-V_tau0</t>
  </si>
  <si>
    <t>normHRJSDShannon_tau0</t>
  </si>
  <si>
    <t>normHRJSDrenyi025_tau0</t>
  </si>
  <si>
    <t>normHRJSDrenyi2_tau0</t>
  </si>
  <si>
    <t>normHRJSDrenyi4_tau0</t>
  </si>
  <si>
    <t>D_12n_tau0</t>
  </si>
  <si>
    <t>pvRSA</t>
  </si>
  <si>
    <t xml:space="preserve">NF </t>
  </si>
  <si>
    <t xml:space="preserve">Se_BBI-&gt;RESP </t>
  </si>
  <si>
    <t xml:space="preserve">Se_RESP-&gt;BBI </t>
  </si>
  <si>
    <t xml:space="preserve">Area_BBI-&gt;RESP </t>
  </si>
  <si>
    <t xml:space="preserve">Area_RESP-&gt;BBI </t>
  </si>
  <si>
    <t>N0001</t>
  </si>
  <si>
    <t>N0002</t>
  </si>
  <si>
    <t>N0004</t>
  </si>
  <si>
    <t>N0007</t>
  </si>
  <si>
    <t>N0009</t>
  </si>
  <si>
    <t>N0010</t>
  </si>
  <si>
    <t>N0013</t>
  </si>
  <si>
    <t>N0014</t>
  </si>
  <si>
    <t>N0015</t>
  </si>
  <si>
    <t>N0018</t>
  </si>
  <si>
    <t>N0020</t>
  </si>
  <si>
    <t>N0023</t>
  </si>
  <si>
    <t>N0024</t>
  </si>
  <si>
    <t>N0025</t>
  </si>
  <si>
    <t>N0026</t>
  </si>
  <si>
    <t>N0028</t>
  </si>
  <si>
    <t>N0029</t>
  </si>
  <si>
    <t>P0001</t>
  </si>
  <si>
    <t>P0002</t>
  </si>
  <si>
    <t>P0003</t>
  </si>
  <si>
    <t>P0008</t>
  </si>
  <si>
    <t>P0010</t>
  </si>
  <si>
    <t>P0011</t>
  </si>
  <si>
    <t>P0012</t>
  </si>
  <si>
    <t>P0013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</si>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</sst>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"/>
  </numFmts>
  <fonts count="20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25" applyNumberFormat="0" applyFill="0" applyAlignment="0" applyProtection="0"/>
    <xf numFmtId="0" fontId="7" fillId="0" borderId="26" applyNumberFormat="0" applyFill="0" applyAlignment="0" applyProtection="0"/>
    <xf numFmtId="0" fontId="8" fillId="0" borderId="27" applyNumberFormat="0" applyFill="0" applyAlignment="0" applyProtection="0"/>
    <xf numFmtId="0" fontId="8" fillId="0" borderId="0" applyNumberFormat="0" applyFill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10" borderId="28" applyNumberFormat="0" applyAlignment="0" applyProtection="0"/>
    <xf numFmtId="0" fontId="12" fillId="11" borderId="29" applyNumberFormat="0" applyAlignment="0" applyProtection="0"/>
    <xf numFmtId="0" fontId="13" fillId="11" borderId="28" applyNumberFormat="0" applyAlignment="0" applyProtection="0"/>
    <xf numFmtId="0" fontId="14" fillId="0" borderId="30" applyNumberFormat="0" applyFill="0" applyAlignment="0" applyProtection="0"/>
    <xf numFmtId="0" fontId="15" fillId="12" borderId="31" applyNumberFormat="0" applyAlignment="0" applyProtection="0"/>
    <xf numFmtId="0" fontId="16" fillId="0" borderId="0" applyNumberFormat="0" applyFill="0" applyBorder="0" applyAlignment="0" applyProtection="0"/>
    <xf numFmtId="0" fontId="4" fillId="13" borderId="32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33" applyNumberFormat="0" applyFill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19" fillId="9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18" fillId="37" borderId="0" applyNumberFormat="0" applyBorder="0" applyAlignment="0" applyProtection="0"/>
  </cellStyleXfs>
  <cellXfs count="210">
    <xf numFmtId="0" fontId="0" fillId="0" borderId="0" xfId="0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6" borderId="5" xfId="0" applyNumberForma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0" fontId="0" fillId="3" borderId="3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10" fontId="0" fillId="3" borderId="6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5" fontId="0" fillId="3" borderId="6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65" fontId="0" fillId="5" borderId="6" xfId="0" applyNumberForma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1" fontId="0" fillId="3" borderId="17" xfId="0" applyNumberFormat="1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1" fontId="0" fillId="3" borderId="18" xfId="0" applyNumberForma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1" fontId="0" fillId="5" borderId="13" xfId="0" applyNumberFormat="1" applyFill="1" applyBorder="1" applyAlignment="1">
      <alignment horizontal="center" vertical="center"/>
    </xf>
    <xf numFmtId="1" fontId="0" fillId="5" borderId="18" xfId="0" applyNumberFormat="1" applyFill="1" applyBorder="1" applyAlignment="1">
      <alignment horizontal="center" vertical="center"/>
    </xf>
    <xf numFmtId="1" fontId="0" fillId="6" borderId="13" xfId="0" applyNumberFormat="1" applyFill="1" applyBorder="1" applyAlignment="1">
      <alignment horizontal="center" vertical="center"/>
    </xf>
    <xf numFmtId="1" fontId="2" fillId="3" borderId="20" xfId="0" applyNumberFormat="1" applyFont="1" applyFill="1" applyBorder="1" applyAlignment="1">
      <alignment horizontal="center" vertical="center"/>
    </xf>
    <xf numFmtId="1" fontId="2" fillId="3" borderId="21" xfId="0" applyNumberFormat="1" applyFont="1" applyFill="1" applyBorder="1" applyAlignment="1">
      <alignment horizontal="center" vertical="center"/>
    </xf>
    <xf numFmtId="1" fontId="2" fillId="3" borderId="22" xfId="0" applyNumberFormat="1" applyFont="1" applyFill="1" applyBorder="1" applyAlignment="1">
      <alignment horizontal="center" vertical="center"/>
    </xf>
    <xf numFmtId="1" fontId="2" fillId="4" borderId="21" xfId="0" applyNumberFormat="1" applyFont="1" applyFill="1" applyBorder="1" applyAlignment="1">
      <alignment horizontal="center" vertical="center"/>
    </xf>
    <xf numFmtId="1" fontId="2" fillId="5" borderId="21" xfId="0" applyNumberFormat="1" applyFont="1" applyFill="1" applyBorder="1" applyAlignment="1">
      <alignment horizontal="center" vertical="center"/>
    </xf>
    <xf numFmtId="1" fontId="2" fillId="5" borderId="22" xfId="0" applyNumberFormat="1" applyFont="1" applyFill="1" applyBorder="1" applyAlignment="1">
      <alignment horizontal="center" vertical="center"/>
    </xf>
    <xf numFmtId="1" fontId="2" fillId="6" borderId="21" xfId="0" applyNumberFormat="1" applyFont="1" applyFill="1" applyBorder="1" applyAlignment="1">
      <alignment horizontal="center" vertical="center"/>
    </xf>
    <xf numFmtId="0" fontId="3" fillId="4" borderId="21" xfId="0" quotePrefix="1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1" fontId="2" fillId="4" borderId="20" xfId="0" applyNumberFormat="1" applyFont="1" applyFill="1" applyBorder="1" applyAlignment="1">
      <alignment horizontal="center" vertical="center"/>
    </xf>
    <xf numFmtId="1" fontId="2" fillId="3" borderId="23" xfId="0" applyNumberFormat="1" applyFont="1" applyFill="1" applyBorder="1" applyAlignment="1">
      <alignment horizontal="center" vertical="center"/>
    </xf>
    <xf numFmtId="1" fontId="2" fillId="3" borderId="24" xfId="0" applyNumberFormat="1" applyFont="1" applyFill="1" applyBorder="1" applyAlignment="1">
      <alignment horizontal="center" vertical="center"/>
    </xf>
    <xf numFmtId="1" fontId="0" fillId="4" borderId="17" xfId="0" applyNumberFormat="1" applyFill="1" applyBorder="1" applyAlignment="1">
      <alignment horizontal="center" vertical="center"/>
    </xf>
    <xf numFmtId="1" fontId="0" fillId="3" borderId="12" xfId="0" applyNumberFormat="1" applyFill="1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1" fontId="0" fillId="3" borderId="14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10" fontId="0" fillId="3" borderId="8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 vertical="center"/>
    </xf>
    <xf numFmtId="165" fontId="0" fillId="3" borderId="8" xfId="0" applyNumberFormat="1" applyFill="1" applyBorder="1" applyAlignment="1">
      <alignment horizontal="center" vertical="center"/>
    </xf>
    <xf numFmtId="165" fontId="0" fillId="3" borderId="14" xfId="0" applyNumberFormat="1" applyFill="1" applyBorder="1" applyAlignment="1">
      <alignment horizontal="center" vertical="center"/>
    </xf>
    <xf numFmtId="10" fontId="0" fillId="3" borderId="14" xfId="0" applyNumberFormat="1" applyFill="1" applyBorder="1" applyAlignment="1">
      <alignment horizontal="center" vertical="center"/>
    </xf>
    <xf numFmtId="10" fontId="0" fillId="4" borderId="4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10" fontId="0" fillId="4" borderId="5" xfId="0" applyNumberFormat="1" applyFill="1" applyBorder="1" applyAlignment="1">
      <alignment horizontal="center" vertical="center"/>
    </xf>
    <xf numFmtId="1" fontId="0" fillId="6" borderId="5" xfId="0" applyNumberFormat="1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5" borderId="21" xfId="0" applyNumberFormat="1" applyFont="1" applyFill="1" applyBorder="1" applyAlignment="1">
      <alignment horizontal="center" vertical="center"/>
    </xf>
    <xf numFmtId="2" fontId="0" fillId="3" borderId="22" xfId="0" applyNumberFormat="1" applyFont="1" applyFill="1" applyBorder="1" applyAlignment="1">
      <alignment horizontal="center" vertical="center"/>
    </xf>
    <xf numFmtId="2" fontId="0" fillId="3" borderId="21" xfId="0" applyNumberFormat="1" applyFont="1" applyFill="1" applyBorder="1" applyAlignment="1">
      <alignment horizontal="center" vertical="center"/>
    </xf>
    <xf numFmtId="2" fontId="0" fillId="4" borderId="21" xfId="0" applyNumberFormat="1" applyFont="1" applyFill="1" applyBorder="1" applyAlignment="1">
      <alignment horizontal="center" vertical="center"/>
    </xf>
    <xf numFmtId="2" fontId="0" fillId="3" borderId="20" xfId="0" applyNumberFormat="1" applyFont="1" applyFill="1" applyBorder="1" applyAlignment="1">
      <alignment horizontal="center" vertical="center"/>
    </xf>
    <xf numFmtId="2" fontId="0" fillId="6" borderId="21" xfId="0" applyNumberFormat="1" applyFont="1" applyFill="1" applyBorder="1" applyAlignment="1">
      <alignment horizontal="center" vertical="center"/>
    </xf>
    <xf numFmtId="2" fontId="0" fillId="5" borderId="22" xfId="0" applyNumberFormat="1" applyFont="1" applyFill="1" applyBorder="1" applyAlignment="1">
      <alignment horizontal="center" vertical="center"/>
    </xf>
    <xf numFmtId="1" fontId="2" fillId="4" borderId="23" xfId="0" applyNumberFormat="1" applyFont="1" applyFill="1" applyBorder="1" applyAlignment="1">
      <alignment horizontal="center" vertical="center"/>
    </xf>
    <xf numFmtId="2" fontId="0" fillId="4" borderId="24" xfId="0" applyNumberFormat="1" applyFont="1" applyFill="1" applyBorder="1" applyAlignment="1">
      <alignment horizontal="center" vertical="center"/>
    </xf>
    <xf numFmtId="2" fontId="0" fillId="4" borderId="23" xfId="0" applyNumberFormat="1" applyFont="1" applyFill="1" applyBorder="1" applyAlignment="1">
      <alignment horizontal="center" vertical="center"/>
    </xf>
    <xf numFmtId="1" fontId="2" fillId="6" borderId="20" xfId="0" applyNumberFormat="1" applyFont="1" applyFill="1" applyBorder="1" applyAlignment="1">
      <alignment horizontal="center" vertical="center"/>
    </xf>
    <xf numFmtId="1" fontId="2" fillId="6" borderId="22" xfId="0" applyNumberFormat="1" applyFont="1" applyFill="1" applyBorder="1" applyAlignment="1">
      <alignment horizontal="center" vertical="center"/>
    </xf>
    <xf numFmtId="2" fontId="0" fillId="6" borderId="20" xfId="0" applyNumberFormat="1" applyFont="1" applyFill="1" applyBorder="1" applyAlignment="1">
      <alignment horizontal="center" vertical="center"/>
    </xf>
    <xf numFmtId="1" fontId="2" fillId="5" borderId="20" xfId="0" applyNumberFormat="1" applyFont="1" applyFill="1" applyBorder="1" applyAlignment="1">
      <alignment horizontal="center" vertical="center"/>
    </xf>
    <xf numFmtId="2" fontId="0" fillId="6" borderId="22" xfId="0" applyNumberFormat="1" applyFont="1" applyFill="1" applyBorder="1" applyAlignment="1">
      <alignment horizontal="center" vertical="center"/>
    </xf>
    <xf numFmtId="1" fontId="2" fillId="4" borderId="24" xfId="0" applyNumberFormat="1" applyFont="1" applyFill="1" applyBorder="1" applyAlignment="1">
      <alignment horizontal="center" vertical="center"/>
    </xf>
    <xf numFmtId="2" fontId="0" fillId="5" borderId="20" xfId="0" applyNumberFormat="1" applyFont="1" applyFill="1" applyBorder="1" applyAlignment="1">
      <alignment horizontal="center" vertical="center"/>
    </xf>
    <xf numFmtId="0" fontId="2" fillId="38" borderId="2" xfId="0" applyFont="1" applyFill="1" applyBorder="1" applyAlignment="1">
      <alignment horizontal="center" vertical="center"/>
    </xf>
    <xf numFmtId="0" fontId="2" fillId="39" borderId="2" xfId="0" applyFont="1" applyFill="1" applyBorder="1" applyAlignment="1">
      <alignment horizontal="center" vertical="center"/>
    </xf>
    <xf numFmtId="0" fontId="2" fillId="40" borderId="2" xfId="0" applyFont="1" applyFill="1" applyBorder="1" applyAlignment="1">
      <alignment horizontal="center" vertical="center"/>
    </xf>
    <xf numFmtId="0" fontId="2" fillId="41" borderId="2" xfId="0" applyFont="1" applyFill="1" applyBorder="1" applyAlignment="1">
      <alignment horizontal="center" vertical="center"/>
    </xf>
    <xf numFmtId="0" fontId="2" fillId="42" borderId="2" xfId="0" applyFont="1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0" fillId="38" borderId="17" xfId="0" applyNumberFormat="1" applyFill="1" applyBorder="1" applyAlignment="1">
      <alignment horizontal="center" vertical="center"/>
    </xf>
    <xf numFmtId="2" fontId="0" fillId="38" borderId="3" xfId="0" applyNumberFormat="1" applyFill="1" applyBorder="1" applyAlignment="1">
      <alignment horizontal="center" vertical="center"/>
    </xf>
    <xf numFmtId="2" fontId="0" fillId="38" borderId="4" xfId="0" applyNumberFormat="1" applyFill="1" applyBorder="1" applyAlignment="1">
      <alignment horizontal="center" vertical="center"/>
    </xf>
    <xf numFmtId="2" fontId="0" fillId="38" borderId="13" xfId="0" applyNumberFormat="1" applyFill="1" applyBorder="1" applyAlignment="1">
      <alignment horizontal="center" vertical="center"/>
    </xf>
    <xf numFmtId="2" fontId="0" fillId="38" borderId="1" xfId="0" applyNumberFormat="1" applyFill="1" applyBorder="1" applyAlignment="1">
      <alignment horizontal="center" vertical="center"/>
    </xf>
    <xf numFmtId="2" fontId="0" fillId="38" borderId="5" xfId="0" applyNumberFormat="1" applyFill="1" applyBorder="1" applyAlignment="1">
      <alignment horizontal="center" vertical="center"/>
    </xf>
    <xf numFmtId="2" fontId="0" fillId="38" borderId="18" xfId="0" applyNumberFormat="1" applyFill="1" applyBorder="1" applyAlignment="1">
      <alignment horizontal="center" vertical="center"/>
    </xf>
    <xf numFmtId="2" fontId="0" fillId="38" borderId="6" xfId="0" applyNumberFormat="1" applyFill="1" applyBorder="1" applyAlignment="1">
      <alignment horizontal="center" vertical="center"/>
    </xf>
    <xf numFmtId="2" fontId="0" fillId="38" borderId="7" xfId="0" applyNumberFormat="1" applyFill="1" applyBorder="1" applyAlignment="1">
      <alignment horizontal="center" vertical="center"/>
    </xf>
    <xf numFmtId="2" fontId="0" fillId="4" borderId="41" xfId="0" applyNumberFormat="1" applyFont="1" applyFill="1" applyBorder="1" applyAlignment="1">
      <alignment horizontal="center" vertical="center"/>
    </xf>
    <xf numFmtId="2" fontId="0" fillId="4" borderId="42" xfId="0" applyNumberFormat="1" applyFont="1" applyFill="1" applyBorder="1" applyAlignment="1">
      <alignment horizontal="center" vertical="center"/>
    </xf>
    <xf numFmtId="2" fontId="0" fillId="3" borderId="40" xfId="0" applyNumberFormat="1" applyFont="1" applyFill="1" applyBorder="1" applyAlignment="1">
      <alignment horizontal="center" vertical="center"/>
    </xf>
    <xf numFmtId="0" fontId="2" fillId="38" borderId="37" xfId="0" applyFont="1" applyFill="1" applyBorder="1" applyAlignment="1">
      <alignment horizontal="center" vertical="center"/>
    </xf>
    <xf numFmtId="2" fontId="0" fillId="4" borderId="39" xfId="0" applyNumberFormat="1" applyFont="1" applyFill="1" applyBorder="1" applyAlignment="1">
      <alignment horizontal="center" vertical="center"/>
    </xf>
    <xf numFmtId="2" fontId="0" fillId="6" borderId="38" xfId="0" applyNumberFormat="1" applyFont="1" applyFill="1" applyBorder="1" applyAlignment="1">
      <alignment horizontal="center" vertical="center"/>
    </xf>
    <xf numFmtId="2" fontId="0" fillId="5" borderId="40" xfId="0" applyNumberFormat="1" applyFont="1" applyFill="1" applyBorder="1" applyAlignment="1">
      <alignment horizontal="center" vertical="center"/>
    </xf>
    <xf numFmtId="2" fontId="0" fillId="3" borderId="39" xfId="0" applyNumberFormat="1" applyFont="1" applyFill="1" applyBorder="1" applyAlignment="1">
      <alignment horizontal="center" vertical="center"/>
    </xf>
    <xf numFmtId="2" fontId="0" fillId="3" borderId="38" xfId="0" applyNumberFormat="1" applyFont="1" applyFill="1" applyBorder="1" applyAlignment="1">
      <alignment horizontal="center" vertical="center"/>
    </xf>
    <xf numFmtId="2" fontId="0" fillId="6" borderId="39" xfId="0" applyNumberFormat="1" applyFont="1" applyFill="1" applyBorder="1" applyAlignment="1">
      <alignment horizontal="center" vertical="center"/>
    </xf>
    <xf numFmtId="2" fontId="0" fillId="5" borderId="38" xfId="0" applyNumberFormat="1" applyFont="1" applyFill="1" applyBorder="1" applyAlignment="1">
      <alignment horizontal="center" vertical="center"/>
    </xf>
    <xf numFmtId="2" fontId="0" fillId="5" borderId="39" xfId="0" applyNumberFormat="1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left" vertical="center"/>
    </xf>
    <xf numFmtId="0" fontId="3" fillId="6" borderId="2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38" borderId="22" xfId="0" applyFill="1" applyBorder="1" applyAlignment="1">
      <alignment horizontal="center" vertical="center"/>
    </xf>
    <xf numFmtId="0" fontId="3" fillId="4" borderId="23" xfId="0" applyFont="1" applyFill="1" applyBorder="1" applyAlignment="1">
      <alignment horizontal="left" vertical="center"/>
    </xf>
    <xf numFmtId="0" fontId="3" fillId="4" borderId="21" xfId="0" quotePrefix="1" applyFont="1" applyFill="1" applyBorder="1" applyAlignment="1">
      <alignment horizontal="left" vertical="center"/>
    </xf>
    <xf numFmtId="0" fontId="0" fillId="3" borderId="21" xfId="0" applyFill="1" applyBorder="1" applyAlignment="1">
      <alignment horizontal="center" vertical="center"/>
    </xf>
    <xf numFmtId="0" fontId="3" fillId="5" borderId="21" xfId="0" applyFont="1" applyFill="1" applyBorder="1" applyAlignment="1">
      <alignment horizontal="left" vertical="center"/>
    </xf>
    <xf numFmtId="2" fontId="0" fillId="6" borderId="40" xfId="0" applyNumberFormat="1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left" vertical="center"/>
    </xf>
    <xf numFmtId="0" fontId="0" fillId="38" borderId="20" xfId="0" applyFill="1" applyBorder="1" applyAlignment="1">
      <alignment horizontal="center" vertical="center"/>
    </xf>
    <xf numFmtId="0" fontId="3" fillId="6" borderId="21" xfId="0" applyFont="1" applyFill="1" applyBorder="1" applyAlignment="1">
      <alignment horizontal="left" vertical="center"/>
    </xf>
    <xf numFmtId="0" fontId="0" fillId="38" borderId="21" xfId="0" applyFill="1" applyBorder="1" applyAlignment="1">
      <alignment horizontal="center" vertical="center"/>
    </xf>
    <xf numFmtId="0" fontId="3" fillId="5" borderId="22" xfId="0" applyFont="1" applyFill="1" applyBorder="1" applyAlignment="1">
      <alignment horizontal="left" vertical="center"/>
    </xf>
    <xf numFmtId="0" fontId="3" fillId="3" borderId="20" xfId="0" applyFont="1" applyFill="1" applyBorder="1" applyAlignment="1">
      <alignment horizontal="left" vertical="center"/>
    </xf>
    <xf numFmtId="0" fontId="0" fillId="3" borderId="22" xfId="0" applyFill="1" applyBorder="1" applyAlignment="1">
      <alignment horizontal="center" vertical="center"/>
    </xf>
    <xf numFmtId="0" fontId="3" fillId="3" borderId="21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3" fillId="5" borderId="2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6" borderId="20" xfId="0" applyFont="1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0" fontId="0" fillId="43" borderId="34" xfId="0" applyFill="1" applyBorder="1" applyAlignment="1">
      <alignment horizontal="left" vertical="center"/>
    </xf>
    <xf numFmtId="0" fontId="0" fillId="43" borderId="35" xfId="0" applyFill="1" applyBorder="1" applyAlignment="1">
      <alignment horizontal="left" vertical="center"/>
    </xf>
    <xf numFmtId="0" fontId="0" fillId="44" borderId="36" xfId="0" applyFill="1" applyBorder="1" applyAlignment="1">
      <alignment horizontal="left" vertical="center"/>
    </xf>
    <xf numFmtId="0" fontId="0" fillId="44" borderId="34" xfId="0" applyFill="1" applyBorder="1" applyAlignment="1">
      <alignment horizontal="left" vertical="center"/>
    </xf>
    <xf numFmtId="0" fontId="0" fillId="44" borderId="35" xfId="0" applyFill="1" applyBorder="1" applyAlignment="1">
      <alignment horizontal="left" vertical="center"/>
    </xf>
    <xf numFmtId="2" fontId="0" fillId="38" borderId="3" xfId="0" applyNumberFormat="1" applyFill="1" applyBorder="1" applyAlignment="1">
      <alignment horizontal="center" vertical="center"/>
    </xf>
    <xf numFmtId="2" fontId="0" fillId="38" borderId="1" xfId="0" applyNumberFormat="1" applyFill="1" applyBorder="1" applyAlignment="1">
      <alignment horizontal="center" vertical="center"/>
    </xf>
    <xf numFmtId="2" fontId="0" fillId="38" borderId="6" xfId="0" applyNumberFormat="1" applyFill="1" applyBorder="1" applyAlignment="1">
      <alignment horizontal="center" vertical="center"/>
    </xf>
  </cellXfs>
  <cellStyles count="42">
    <cellStyle name="20 % - Akzent1" xfId="18" builtinId="30" customBuiltin="1"/>
    <cellStyle name="20 % - Akzent2" xfId="21" builtinId="34" customBuiltin="1"/>
    <cellStyle name="20 % - Akzent3" xfId="24" builtinId="38" customBuiltin="1"/>
    <cellStyle name="20 % - Akzent4" xfId="27" builtinId="42" customBuiltin="1"/>
    <cellStyle name="20 % - Akzent5" xfId="30" builtinId="46" customBuiltin="1"/>
    <cellStyle name="20 % - Akzent6" xfId="33" builtinId="50" customBuiltin="1"/>
    <cellStyle name="40 % - Akzent1" xfId="19" builtinId="31" customBuiltin="1"/>
    <cellStyle name="40 % - Akzent2" xfId="22" builtinId="35" customBuiltin="1"/>
    <cellStyle name="40 % - Akzent3" xfId="25" builtinId="39" customBuiltin="1"/>
    <cellStyle name="40 % - Akzent4" xfId="28" builtinId="43" customBuiltin="1"/>
    <cellStyle name="40 % - Akzent5" xfId="31" builtinId="47" customBuiltin="1"/>
    <cellStyle name="40 % - Akzent6" xfId="34" builtinId="51" customBuiltin="1"/>
    <cellStyle name="60 % - Akzent1 2" xfId="36" xr:uid="{00000000-0005-0000-0000-00002F000000}"/>
    <cellStyle name="60 % - Akzent2 2" xfId="37" xr:uid="{00000000-0005-0000-0000-000030000000}"/>
    <cellStyle name="60 % - Akzent3 2" xfId="38" xr:uid="{00000000-0005-0000-0000-000031000000}"/>
    <cellStyle name="60 % - Akzent4 2" xfId="39" xr:uid="{00000000-0005-0000-0000-000032000000}"/>
    <cellStyle name="60 % - Akzent5 2" xfId="40" xr:uid="{00000000-0005-0000-0000-000033000000}"/>
    <cellStyle name="60 % - Akzent6 2" xfId="41" xr:uid="{00000000-0005-0000-0000-000034000000}"/>
    <cellStyle name="Akzent1" xfId="17" builtinId="29" customBuiltin="1"/>
    <cellStyle name="Akzent2" xfId="20" builtinId="33" customBuiltin="1"/>
    <cellStyle name="Akzent3" xfId="23" builtinId="37" customBuiltin="1"/>
    <cellStyle name="Akzent4" xfId="26" builtinId="41" customBuiltin="1"/>
    <cellStyle name="Akzent5" xfId="29" builtinId="45" customBuiltin="1"/>
    <cellStyle name="Akzent6" xfId="32" builtinId="49" customBuiltin="1"/>
    <cellStyle name="Ausgabe" xfId="9" builtinId="21" customBuiltin="1"/>
    <cellStyle name="Berechnung" xfId="10" builtinId="22" customBuiltin="1"/>
    <cellStyle name="Eingabe" xfId="8" builtinId="20" customBuiltin="1"/>
    <cellStyle name="Ergebnis" xfId="16" builtinId="25" customBuiltin="1"/>
    <cellStyle name="Erklärender Text" xfId="15" builtinId="53" customBuiltin="1"/>
    <cellStyle name="Gut" xfId="6" builtinId="26" customBuiltin="1"/>
    <cellStyle name="Neutral 2" xfId="35" xr:uid="{00000000-0005-0000-0000-000035000000}"/>
    <cellStyle name="Notiz" xfId="14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1" builtinId="24" customBuiltin="1"/>
    <cellStyle name="Warnender Text" xfId="13" builtinId="11" customBuiltin="1"/>
    <cellStyle name="Zelle überprüfen" xfId="12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1"/>
  <sheetViews>
    <sheetView zoomScale="130" zoomScaleNormal="130" workbookViewId="0">
      <selection activeCell="E40" sqref="E1:G1048576"/>
    </sheetView>
  </sheetViews>
  <sheetFormatPr baseColWidth="10" defaultColWidth="8.85546875" defaultRowHeight="15" x14ac:dyDescent="0.25"/>
  <cols>
    <col min="1" max="1" width="11.5703125" style="1" customWidth="1"/>
    <col min="2" max="2" width="11.5703125" style="40" customWidth="1"/>
    <col min="3" max="3" width="9.140625" style="1" bestFit="1" customWidth="1"/>
    <col min="4" max="4" width="12" style="1" bestFit="1" customWidth="1"/>
    <col min="5" max="5" width="5.42578125" style="1" bestFit="1" customWidth="1"/>
    <col min="6" max="6" width="4.140625" style="1" bestFit="1" customWidth="1"/>
    <col min="7" max="7" width="8.42578125" style="1" bestFit="1" customWidth="1"/>
    <col min="8" max="8" width="6.5703125" style="1" bestFit="1" customWidth="1"/>
    <col min="9" max="9" width="31.28515625" style="1" bestFit="1" customWidth="1"/>
    <col min="10" max="10" width="6.5703125" style="1" bestFit="1" customWidth="1"/>
    <col min="11" max="11" width="8.140625" style="1" bestFit="1" customWidth="1"/>
    <col min="12" max="12" width="14.85546875" style="1" bestFit="1" customWidth="1"/>
    <col min="13" max="13" width="10.42578125" style="1" bestFit="1" customWidth="1"/>
    <col min="14" max="14" width="11.7109375" style="1" bestFit="1" customWidth="1"/>
    <col min="15" max="15" width="6.85546875" style="1" bestFit="1" customWidth="1"/>
    <col min="16" max="16" width="15" style="1" bestFit="1" customWidth="1"/>
    <col min="17" max="17" width="7.85546875" style="1" bestFit="1" customWidth="1"/>
    <col min="18" max="18" width="11.28515625" style="1" bestFit="1" customWidth="1"/>
    <col min="19" max="19" width="23.7109375" style="1" bestFit="1" customWidth="1"/>
    <col min="20" max="20" width="15.5703125" style="1" bestFit="1" customWidth="1"/>
    <col min="21" max="21" width="7.140625" style="1" bestFit="1" customWidth="1"/>
    <col min="22" max="22" width="17.42578125" style="1" bestFit="1" customWidth="1"/>
    <col min="23" max="23" width="47.28515625" style="1" bestFit="1" customWidth="1"/>
    <col min="24" max="24" width="26.85546875" style="1" bestFit="1" customWidth="1"/>
    <col min="25" max="25" width="185.42578125" style="1" bestFit="1" customWidth="1"/>
    <col min="26" max="26" width="69.140625" style="1" bestFit="1" customWidth="1"/>
    <col min="27" max="27" width="20" style="1" bestFit="1" customWidth="1"/>
    <col min="28" max="28" width="26.5703125" style="1" bestFit="1" customWidth="1"/>
    <col min="29" max="29" width="24.28515625" style="1" bestFit="1" customWidth="1"/>
    <col min="30" max="30" width="53.28515625" style="1" bestFit="1" customWidth="1"/>
    <col min="31" max="31" width="71" style="1" bestFit="1" customWidth="1"/>
    <col min="32" max="32" width="17" style="1" bestFit="1" customWidth="1"/>
    <col min="33" max="33" width="22.42578125" style="1" bestFit="1" customWidth="1"/>
    <col min="34" max="34" width="22.85546875" style="1" bestFit="1" customWidth="1"/>
    <col min="35" max="35" width="25.28515625" style="1" bestFit="1" customWidth="1"/>
    <col min="36" max="36" width="201.5703125" style="1" bestFit="1" customWidth="1"/>
    <col min="37" max="37" width="14" style="1" bestFit="1" customWidth="1"/>
    <col min="38" max="38" width="14.7109375" style="1" bestFit="1" customWidth="1"/>
    <col min="39" max="39" width="16.140625" style="1" bestFit="1" customWidth="1"/>
    <col min="40" max="40" width="64.85546875" style="1" bestFit="1" customWidth="1"/>
    <col min="41" max="43" width="7.140625" style="1" bestFit="1" customWidth="1"/>
    <col min="44" max="44" width="9.42578125" style="1" bestFit="1" customWidth="1"/>
    <col min="45" max="47" width="7.140625" style="1" bestFit="1" customWidth="1"/>
    <col min="48" max="48" width="24.85546875" style="1" bestFit="1" customWidth="1"/>
    <col min="49" max="49" width="19" style="1" bestFit="1" customWidth="1"/>
    <col min="50" max="50" width="18.7109375" style="1" bestFit="1" customWidth="1"/>
    <col min="51" max="51" width="20.28515625" style="1" bestFit="1" customWidth="1"/>
    <col min="52" max="52" width="20" style="1" bestFit="1" customWidth="1"/>
    <col min="53" max="53" width="5.42578125" style="1" bestFit="1" customWidth="1"/>
    <col min="54" max="54" width="7.5703125" style="1" bestFit="1" customWidth="1"/>
    <col min="55" max="56" width="8.5703125" style="1" bestFit="1" customWidth="1"/>
    <col min="57" max="16384" width="8.85546875" style="1"/>
  </cols>
  <sheetData>
    <row r="1" spans="1:56" ht="15.75" thickBot="1" x14ac:dyDescent="0.3">
      <c r="A1" s="72" t="s">
        <v>0</v>
      </c>
      <c r="B1" s="72" t="s">
        <v>1</v>
      </c>
      <c r="C1" s="71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389</v>
      </c>
      <c r="Y1" s="47" t="s">
        <v>23</v>
      </c>
      <c r="Z1" s="47" t="s">
        <v>24</v>
      </c>
      <c r="AA1" s="47" t="s">
        <v>25</v>
      </c>
      <c r="AB1" s="47" t="s">
        <v>26</v>
      </c>
      <c r="AC1" s="47" t="s">
        <v>27</v>
      </c>
      <c r="AD1" s="47" t="s">
        <v>28</v>
      </c>
      <c r="AE1" s="47" t="s">
        <v>29</v>
      </c>
      <c r="AF1" s="47" t="s">
        <v>30</v>
      </c>
      <c r="AG1" s="47" t="s">
        <v>31</v>
      </c>
      <c r="AH1" s="47" t="s">
        <v>32</v>
      </c>
      <c r="AI1" s="47" t="s">
        <v>33</v>
      </c>
      <c r="AJ1" s="47" t="s">
        <v>34</v>
      </c>
      <c r="AK1" s="47" t="s">
        <v>35</v>
      </c>
      <c r="AL1" s="47" t="s">
        <v>36</v>
      </c>
      <c r="AM1" s="47" t="s">
        <v>37</v>
      </c>
      <c r="AN1" s="47" t="s">
        <v>38</v>
      </c>
      <c r="AO1" s="47" t="s">
        <v>39</v>
      </c>
      <c r="AP1" s="47" t="s">
        <v>40</v>
      </c>
      <c r="AQ1" s="47" t="s">
        <v>41</v>
      </c>
      <c r="AR1" s="47" t="s">
        <v>42</v>
      </c>
      <c r="AS1" s="47" t="s">
        <v>43</v>
      </c>
      <c r="AT1" s="47" t="s">
        <v>44</v>
      </c>
      <c r="AU1" s="47" t="s">
        <v>45</v>
      </c>
      <c r="AV1" s="47" t="s">
        <v>46</v>
      </c>
      <c r="AW1" s="47" t="s">
        <v>47</v>
      </c>
      <c r="AX1" s="47" t="s">
        <v>48</v>
      </c>
      <c r="AY1" s="47" t="s">
        <v>49</v>
      </c>
      <c r="AZ1" s="47" t="s">
        <v>50</v>
      </c>
      <c r="BA1" s="47" t="s">
        <v>51</v>
      </c>
      <c r="BB1" s="47" t="s">
        <v>52</v>
      </c>
      <c r="BC1" s="47" t="s">
        <v>53</v>
      </c>
      <c r="BD1" s="48" t="s">
        <v>54</v>
      </c>
    </row>
    <row r="2" spans="1:56" x14ac:dyDescent="0.25">
      <c r="A2" s="95" t="s">
        <v>157</v>
      </c>
      <c r="B2" s="98">
        <v>1</v>
      </c>
      <c r="C2" s="101">
        <v>2</v>
      </c>
      <c r="D2" s="104">
        <v>0</v>
      </c>
      <c r="E2" s="104">
        <v>44</v>
      </c>
      <c r="F2" s="104">
        <v>1</v>
      </c>
      <c r="G2" s="104">
        <v>71.3</v>
      </c>
      <c r="H2" s="107">
        <v>1.78</v>
      </c>
      <c r="I2" s="104">
        <v>0</v>
      </c>
      <c r="J2" s="104">
        <v>1</v>
      </c>
      <c r="K2" s="104">
        <v>0</v>
      </c>
      <c r="L2" s="104">
        <v>0</v>
      </c>
      <c r="M2" s="110" t="e">
        <v>#NULL!</v>
      </c>
      <c r="N2" s="110" t="e">
        <v>#NULL!</v>
      </c>
      <c r="O2" s="112" t="s">
        <v>56</v>
      </c>
      <c r="P2" s="104">
        <v>1</v>
      </c>
      <c r="Q2" s="104">
        <v>1</v>
      </c>
      <c r="R2" s="112" t="s">
        <v>57</v>
      </c>
      <c r="S2" s="112" t="s">
        <v>57</v>
      </c>
      <c r="T2" s="115">
        <v>22.50347178386567</v>
      </c>
      <c r="U2" s="110" t="e">
        <v>#NULL!</v>
      </c>
      <c r="V2" s="119" t="e">
        <v>#NULL!</v>
      </c>
      <c r="W2" s="49"/>
      <c r="X2" s="41"/>
      <c r="Y2" s="41"/>
      <c r="Z2" s="41"/>
      <c r="AA2" s="41" t="s">
        <v>59</v>
      </c>
      <c r="AB2" s="42" t="e">
        <v>#NULL!</v>
      </c>
      <c r="AC2" s="41"/>
      <c r="AD2" s="43">
        <v>8</v>
      </c>
      <c r="AE2" s="41"/>
      <c r="AF2" s="42" t="e">
        <v>#NULL!</v>
      </c>
      <c r="AG2" s="43">
        <v>44</v>
      </c>
      <c r="AH2" s="44">
        <v>0</v>
      </c>
      <c r="AI2" s="42" t="e">
        <v>#NULL!</v>
      </c>
      <c r="AJ2" s="41"/>
      <c r="AK2" s="42" t="e">
        <v>#NULL!</v>
      </c>
      <c r="AL2" s="42" t="e">
        <v>#NULL!</v>
      </c>
      <c r="AM2" s="42" t="e">
        <v>#NULL!</v>
      </c>
      <c r="AN2" s="41"/>
      <c r="AO2" s="43">
        <v>27</v>
      </c>
      <c r="AP2" s="44">
        <v>3.3322045101752038</v>
      </c>
      <c r="AQ2" s="43">
        <v>37</v>
      </c>
      <c r="AR2" s="44">
        <v>3.6109179126442243</v>
      </c>
      <c r="AS2" s="42" t="e">
        <v>#NULL!</v>
      </c>
      <c r="AT2" s="42" t="e">
        <v>#NULL!</v>
      </c>
      <c r="AU2" s="42" t="e">
        <v>#NULL!</v>
      </c>
      <c r="AV2" s="42" t="e">
        <v>#NULL!</v>
      </c>
      <c r="AW2" s="42" t="e">
        <v>#NULL!</v>
      </c>
      <c r="AX2" s="42" t="e">
        <v>#NULL!</v>
      </c>
      <c r="AY2" s="42" t="e">
        <v>#NULL!</v>
      </c>
      <c r="AZ2" s="42" t="e">
        <v>#NULL!</v>
      </c>
      <c r="BA2" s="41" t="s">
        <v>157</v>
      </c>
      <c r="BB2" s="45">
        <v>99.700999999999993</v>
      </c>
      <c r="BC2" s="45">
        <v>33.171999999999997</v>
      </c>
      <c r="BD2" s="46">
        <v>9.5142000000000007</v>
      </c>
    </row>
    <row r="3" spans="1:56" x14ac:dyDescent="0.25">
      <c r="A3" s="76" t="s">
        <v>158</v>
      </c>
      <c r="B3" s="90">
        <v>1</v>
      </c>
      <c r="C3" s="83">
        <v>2</v>
      </c>
      <c r="D3" s="19">
        <v>0</v>
      </c>
      <c r="E3" s="19">
        <v>31</v>
      </c>
      <c r="F3" s="19">
        <v>1</v>
      </c>
      <c r="G3" s="19">
        <v>59</v>
      </c>
      <c r="H3" s="20">
        <v>1.78</v>
      </c>
      <c r="I3" s="19">
        <v>0</v>
      </c>
      <c r="J3" s="19">
        <v>1</v>
      </c>
      <c r="K3" s="19">
        <v>1</v>
      </c>
      <c r="L3" s="19">
        <v>5</v>
      </c>
      <c r="M3" s="21" t="e">
        <v>#NULL!</v>
      </c>
      <c r="N3" s="21" t="e">
        <v>#NULL!</v>
      </c>
      <c r="O3" s="22" t="s">
        <v>56</v>
      </c>
      <c r="P3" s="19">
        <v>3</v>
      </c>
      <c r="Q3" s="19">
        <v>1</v>
      </c>
      <c r="R3" s="22" t="s">
        <v>57</v>
      </c>
      <c r="S3" s="22" t="s">
        <v>57</v>
      </c>
      <c r="T3" s="23">
        <v>18.621386188612547</v>
      </c>
      <c r="U3" s="21" t="e">
        <v>#NULL!</v>
      </c>
      <c r="V3" s="121" t="e">
        <v>#NULL!</v>
      </c>
      <c r="W3" s="50"/>
      <c r="X3" s="4"/>
      <c r="Y3" s="4"/>
      <c r="Z3" s="4"/>
      <c r="AA3" s="4" t="s">
        <v>59</v>
      </c>
      <c r="AB3" s="5" t="e">
        <v>#NULL!</v>
      </c>
      <c r="AC3" s="4"/>
      <c r="AD3" s="2">
        <v>288</v>
      </c>
      <c r="AE3" s="4"/>
      <c r="AF3" s="5" t="e">
        <v>#NULL!</v>
      </c>
      <c r="AG3" s="2">
        <v>25</v>
      </c>
      <c r="AH3" s="3">
        <v>6</v>
      </c>
      <c r="AI3" s="5" t="e">
        <v>#NULL!</v>
      </c>
      <c r="AJ3" s="4"/>
      <c r="AK3" s="5" t="e">
        <v>#NULL!</v>
      </c>
      <c r="AL3" s="5" t="e">
        <v>#NULL!</v>
      </c>
      <c r="AM3" s="5" t="e">
        <v>#NULL!</v>
      </c>
      <c r="AN3" s="4"/>
      <c r="AO3" s="2">
        <v>25</v>
      </c>
      <c r="AP3" s="3">
        <v>3.2580965380214821</v>
      </c>
      <c r="AQ3" s="2">
        <v>27</v>
      </c>
      <c r="AR3" s="3">
        <v>3.2958368660043291</v>
      </c>
      <c r="AS3" s="5" t="e">
        <v>#NULL!</v>
      </c>
      <c r="AT3" s="5" t="e">
        <v>#NULL!</v>
      </c>
      <c r="AU3" s="5" t="e">
        <v>#NULL!</v>
      </c>
      <c r="AV3" s="5" t="e">
        <v>#NULL!</v>
      </c>
      <c r="AW3" s="5" t="e">
        <v>#NULL!</v>
      </c>
      <c r="AX3" s="5" t="e">
        <v>#NULL!</v>
      </c>
      <c r="AY3" s="5" t="e">
        <v>#NULL!</v>
      </c>
      <c r="AZ3" s="5" t="e">
        <v>#NULL!</v>
      </c>
      <c r="BA3" s="4" t="s">
        <v>158</v>
      </c>
      <c r="BB3" s="6">
        <v>70.664000000000001</v>
      </c>
      <c r="BC3" s="6">
        <v>81.905000000000001</v>
      </c>
      <c r="BD3" s="7">
        <v>59.063000000000002</v>
      </c>
    </row>
    <row r="4" spans="1:56" x14ac:dyDescent="0.25">
      <c r="A4" s="76" t="s">
        <v>159</v>
      </c>
      <c r="B4" s="90">
        <v>1</v>
      </c>
      <c r="C4" s="83">
        <v>2</v>
      </c>
      <c r="D4" s="19">
        <v>0</v>
      </c>
      <c r="E4" s="19">
        <v>22</v>
      </c>
      <c r="F4" s="19">
        <v>0</v>
      </c>
      <c r="G4" s="19">
        <v>52</v>
      </c>
      <c r="H4" s="20">
        <v>1.66</v>
      </c>
      <c r="I4" s="19">
        <v>0</v>
      </c>
      <c r="J4" s="19">
        <v>1</v>
      </c>
      <c r="K4" s="19">
        <v>0</v>
      </c>
      <c r="L4" s="19">
        <v>0</v>
      </c>
      <c r="M4" s="21" t="e">
        <v>#NULL!</v>
      </c>
      <c r="N4" s="21" t="e">
        <v>#NULL!</v>
      </c>
      <c r="O4" s="22" t="s">
        <v>57</v>
      </c>
      <c r="P4" s="19">
        <v>0</v>
      </c>
      <c r="Q4" s="19">
        <v>0</v>
      </c>
      <c r="R4" s="22" t="s">
        <v>57</v>
      </c>
      <c r="S4" s="22" t="s">
        <v>57</v>
      </c>
      <c r="T4" s="23">
        <v>18.870663376397157</v>
      </c>
      <c r="U4" s="21" t="e">
        <v>#NULL!</v>
      </c>
      <c r="V4" s="121" t="e">
        <v>#NULL!</v>
      </c>
      <c r="W4" s="50"/>
      <c r="X4" s="4"/>
      <c r="Y4" s="4"/>
      <c r="Z4" s="4"/>
      <c r="AA4" s="4" t="s">
        <v>59</v>
      </c>
      <c r="AB4" s="5" t="e">
        <v>#NULL!</v>
      </c>
      <c r="AC4" s="4"/>
      <c r="AD4" s="5" t="e">
        <v>#NULL!</v>
      </c>
      <c r="AE4" s="4"/>
      <c r="AF4" s="5" t="e">
        <v>#NULL!</v>
      </c>
      <c r="AG4" s="5" t="e">
        <v>#NULL!</v>
      </c>
      <c r="AH4" s="3">
        <v>0</v>
      </c>
      <c r="AI4" s="5" t="e">
        <v>#NULL!</v>
      </c>
      <c r="AJ4" s="4"/>
      <c r="AK4" s="2">
        <v>2</v>
      </c>
      <c r="AL4" s="2">
        <v>2.5</v>
      </c>
      <c r="AM4" s="2">
        <v>1.5</v>
      </c>
      <c r="AN4" s="4"/>
      <c r="AO4" s="2">
        <v>17</v>
      </c>
      <c r="AP4" s="3">
        <v>2.8903717578961645</v>
      </c>
      <c r="AQ4" s="2">
        <v>22</v>
      </c>
      <c r="AR4" s="3">
        <v>3.0910424533583161</v>
      </c>
      <c r="AS4" s="5" t="e">
        <v>#NULL!</v>
      </c>
      <c r="AT4" s="5" t="e">
        <v>#NULL!</v>
      </c>
      <c r="AU4" s="5" t="e">
        <v>#NULL!</v>
      </c>
      <c r="AV4" s="5" t="e">
        <v>#NULL!</v>
      </c>
      <c r="AW4" s="5" t="e">
        <v>#NULL!</v>
      </c>
      <c r="AX4" s="5" t="e">
        <v>#NULL!</v>
      </c>
      <c r="AY4" s="5" t="e">
        <v>#NULL!</v>
      </c>
      <c r="AZ4" s="5" t="e">
        <v>#NULL!</v>
      </c>
      <c r="BA4" s="4" t="s">
        <v>159</v>
      </c>
      <c r="BB4" s="6">
        <v>87.558000000000007</v>
      </c>
      <c r="BC4" s="6">
        <v>40.914000000000001</v>
      </c>
      <c r="BD4" s="7">
        <v>29.132000000000001</v>
      </c>
    </row>
    <row r="5" spans="1:56" x14ac:dyDescent="0.25">
      <c r="A5" s="76" t="s">
        <v>160</v>
      </c>
      <c r="B5" s="90">
        <v>1</v>
      </c>
      <c r="C5" s="83">
        <v>2</v>
      </c>
      <c r="D5" s="19">
        <v>0</v>
      </c>
      <c r="E5" s="19">
        <v>21</v>
      </c>
      <c r="F5" s="19">
        <v>1</v>
      </c>
      <c r="G5" s="19">
        <v>55</v>
      </c>
      <c r="H5" s="20">
        <v>1.68</v>
      </c>
      <c r="I5" s="19">
        <v>0</v>
      </c>
      <c r="J5" s="19">
        <v>1</v>
      </c>
      <c r="K5" s="19">
        <v>1</v>
      </c>
      <c r="L5" s="19">
        <v>12</v>
      </c>
      <c r="M5" s="21" t="e">
        <v>#NULL!</v>
      </c>
      <c r="N5" s="21" t="e">
        <v>#NULL!</v>
      </c>
      <c r="O5" s="22" t="s">
        <v>56</v>
      </c>
      <c r="P5" s="19">
        <v>2</v>
      </c>
      <c r="Q5" s="19">
        <v>0</v>
      </c>
      <c r="R5" s="22" t="s">
        <v>57</v>
      </c>
      <c r="S5" s="22" t="s">
        <v>57</v>
      </c>
      <c r="T5" s="23">
        <v>19.486961451247168</v>
      </c>
      <c r="U5" s="21" t="e">
        <v>#NULL!</v>
      </c>
      <c r="V5" s="121" t="e">
        <v>#NULL!</v>
      </c>
      <c r="W5" s="50"/>
      <c r="X5" s="4"/>
      <c r="Y5" s="4"/>
      <c r="Z5" s="4"/>
      <c r="AA5" s="4" t="s">
        <v>59</v>
      </c>
      <c r="AB5" s="5" t="e">
        <v>#NULL!</v>
      </c>
      <c r="AC5" s="4"/>
      <c r="AD5" s="2">
        <v>240</v>
      </c>
      <c r="AE5" s="4"/>
      <c r="AF5" s="5" t="e">
        <v>#NULL!</v>
      </c>
      <c r="AG5" s="2">
        <v>16</v>
      </c>
      <c r="AH5" s="3">
        <v>5</v>
      </c>
      <c r="AI5" s="5" t="e">
        <v>#NULL!</v>
      </c>
      <c r="AJ5" s="4"/>
      <c r="AK5" s="2">
        <v>1</v>
      </c>
      <c r="AL5" s="2">
        <v>-3.5</v>
      </c>
      <c r="AM5" s="2">
        <v>-3.5</v>
      </c>
      <c r="AN5" s="4"/>
      <c r="AO5" s="2">
        <v>23</v>
      </c>
      <c r="AP5" s="3">
        <v>3.1780538303479458</v>
      </c>
      <c r="AQ5" s="2">
        <v>28</v>
      </c>
      <c r="AR5" s="3">
        <v>3.3322045101752038</v>
      </c>
      <c r="AS5" s="5" t="e">
        <v>#NULL!</v>
      </c>
      <c r="AT5" s="5" t="e">
        <v>#NULL!</v>
      </c>
      <c r="AU5" s="5" t="e">
        <v>#NULL!</v>
      </c>
      <c r="AV5" s="5" t="e">
        <v>#NULL!</v>
      </c>
      <c r="AW5" s="5" t="e">
        <v>#NULL!</v>
      </c>
      <c r="AX5" s="5" t="e">
        <v>#NULL!</v>
      </c>
      <c r="AY5" s="5" t="e">
        <v>#NULL!</v>
      </c>
      <c r="AZ5" s="5" t="e">
        <v>#NULL!</v>
      </c>
      <c r="BA5" s="4" t="s">
        <v>160</v>
      </c>
      <c r="BB5" s="6">
        <v>82.463999999999999</v>
      </c>
      <c r="BC5" s="6">
        <v>55.697000000000003</v>
      </c>
      <c r="BD5" s="7">
        <v>37.744</v>
      </c>
    </row>
    <row r="6" spans="1:56" x14ac:dyDescent="0.25">
      <c r="A6" s="76" t="s">
        <v>161</v>
      </c>
      <c r="B6" s="90">
        <v>1</v>
      </c>
      <c r="C6" s="83">
        <v>2</v>
      </c>
      <c r="D6" s="19">
        <v>0</v>
      </c>
      <c r="E6" s="19">
        <v>45</v>
      </c>
      <c r="F6" s="19">
        <v>0</v>
      </c>
      <c r="G6" s="19">
        <v>75</v>
      </c>
      <c r="H6" s="20">
        <v>1.75</v>
      </c>
      <c r="I6" s="19">
        <v>0</v>
      </c>
      <c r="J6" s="19">
        <v>1</v>
      </c>
      <c r="K6" s="19">
        <v>0</v>
      </c>
      <c r="L6" s="19">
        <v>0</v>
      </c>
      <c r="M6" s="21" t="e">
        <v>#NULL!</v>
      </c>
      <c r="N6" s="21" t="e">
        <v>#NULL!</v>
      </c>
      <c r="O6" s="22" t="s">
        <v>57</v>
      </c>
      <c r="P6" s="19">
        <v>0</v>
      </c>
      <c r="Q6" s="19">
        <v>1</v>
      </c>
      <c r="R6" s="22" t="s">
        <v>56</v>
      </c>
      <c r="S6" s="22" t="s">
        <v>57</v>
      </c>
      <c r="T6" s="23">
        <v>24.489795918367346</v>
      </c>
      <c r="U6" s="21" t="e">
        <v>#NULL!</v>
      </c>
      <c r="V6" s="121" t="e">
        <v>#NULL!</v>
      </c>
      <c r="W6" s="50"/>
      <c r="X6" s="4"/>
      <c r="Y6" s="4"/>
      <c r="Z6" s="4"/>
      <c r="AA6" s="4" t="s">
        <v>59</v>
      </c>
      <c r="AB6" s="5" t="e">
        <v>#NULL!</v>
      </c>
      <c r="AC6" s="4"/>
      <c r="AD6" s="2">
        <v>0</v>
      </c>
      <c r="AE6" s="4"/>
      <c r="AF6" s="5" t="e">
        <v>#NULL!</v>
      </c>
      <c r="AG6" s="2">
        <v>45</v>
      </c>
      <c r="AH6" s="3">
        <v>0</v>
      </c>
      <c r="AI6" s="5" t="e">
        <v>#NULL!</v>
      </c>
      <c r="AJ6" s="4"/>
      <c r="AK6" s="2">
        <v>2</v>
      </c>
      <c r="AL6" s="2">
        <v>1.75</v>
      </c>
      <c r="AM6" s="2">
        <v>2.25</v>
      </c>
      <c r="AN6" s="4"/>
      <c r="AO6" s="2">
        <v>32</v>
      </c>
      <c r="AP6" s="3">
        <v>3.4965075614664802</v>
      </c>
      <c r="AQ6" s="2">
        <v>32</v>
      </c>
      <c r="AR6" s="3">
        <v>3.4657359027997265</v>
      </c>
      <c r="AS6" s="5" t="e">
        <v>#NULL!</v>
      </c>
      <c r="AT6" s="5" t="e">
        <v>#NULL!</v>
      </c>
      <c r="AU6" s="5" t="e">
        <v>#NULL!</v>
      </c>
      <c r="AV6" s="5" t="e">
        <v>#NULL!</v>
      </c>
      <c r="AW6" s="5" t="e">
        <v>#NULL!</v>
      </c>
      <c r="AX6" s="5" t="e">
        <v>#NULL!</v>
      </c>
      <c r="AY6" s="5" t="e">
        <v>#NULL!</v>
      </c>
      <c r="AZ6" s="5" t="e">
        <v>#NULL!</v>
      </c>
      <c r="BA6" s="4" t="s">
        <v>161</v>
      </c>
      <c r="BB6" s="6">
        <v>72.364000000000004</v>
      </c>
      <c r="BC6" s="6">
        <v>38.835999999999999</v>
      </c>
      <c r="BD6" s="7">
        <v>29.55</v>
      </c>
    </row>
    <row r="7" spans="1:56" x14ac:dyDescent="0.25">
      <c r="A7" s="76" t="s">
        <v>162</v>
      </c>
      <c r="B7" s="90">
        <v>1</v>
      </c>
      <c r="C7" s="83">
        <v>2</v>
      </c>
      <c r="D7" s="19">
        <v>0</v>
      </c>
      <c r="E7" s="19">
        <v>41</v>
      </c>
      <c r="F7" s="19">
        <v>0</v>
      </c>
      <c r="G7" s="19">
        <v>65</v>
      </c>
      <c r="H7" s="20">
        <v>1.68</v>
      </c>
      <c r="I7" s="19">
        <v>1</v>
      </c>
      <c r="J7" s="19">
        <v>0</v>
      </c>
      <c r="K7" s="19">
        <v>0</v>
      </c>
      <c r="L7" s="19">
        <v>0</v>
      </c>
      <c r="M7" s="21" t="e">
        <v>#NULL!</v>
      </c>
      <c r="N7" s="21" t="e">
        <v>#NULL!</v>
      </c>
      <c r="O7" s="22" t="s">
        <v>56</v>
      </c>
      <c r="P7" s="19">
        <v>1</v>
      </c>
      <c r="Q7" s="19">
        <v>0</v>
      </c>
      <c r="R7" s="22" t="s">
        <v>57</v>
      </c>
      <c r="S7" s="22" t="s">
        <v>57</v>
      </c>
      <c r="T7" s="23">
        <v>23.030045351473927</v>
      </c>
      <c r="U7" s="21" t="e">
        <v>#NULL!</v>
      </c>
      <c r="V7" s="121" t="e">
        <v>#NULL!</v>
      </c>
      <c r="W7" s="50"/>
      <c r="X7" s="4"/>
      <c r="Y7" s="4"/>
      <c r="Z7" s="4"/>
      <c r="AA7" s="4" t="s">
        <v>59</v>
      </c>
      <c r="AB7" s="5" t="e">
        <v>#NULL!</v>
      </c>
      <c r="AC7" s="4"/>
      <c r="AD7" s="2">
        <v>96</v>
      </c>
      <c r="AE7" s="4"/>
      <c r="AF7" s="5" t="e">
        <v>#NULL!</v>
      </c>
      <c r="AG7" s="2">
        <v>39</v>
      </c>
      <c r="AH7" s="3">
        <v>2</v>
      </c>
      <c r="AI7" s="5" t="e">
        <v>#NULL!</v>
      </c>
      <c r="AJ7" s="4"/>
      <c r="AK7" s="2">
        <v>2</v>
      </c>
      <c r="AL7" s="2">
        <v>3</v>
      </c>
      <c r="AM7" s="2">
        <v>3</v>
      </c>
      <c r="AN7" s="4"/>
      <c r="AO7" s="2">
        <v>7</v>
      </c>
      <c r="AP7" s="3">
        <v>2.0794415416798357</v>
      </c>
      <c r="AQ7" s="2">
        <v>10</v>
      </c>
      <c r="AR7" s="3">
        <v>2.3025850929940459</v>
      </c>
      <c r="AS7" s="5" t="e">
        <v>#NULL!</v>
      </c>
      <c r="AT7" s="5" t="e">
        <v>#NULL!</v>
      </c>
      <c r="AU7" s="5" t="e">
        <v>#NULL!</v>
      </c>
      <c r="AV7" s="5" t="e">
        <v>#NULL!</v>
      </c>
      <c r="AW7" s="5" t="e">
        <v>#NULL!</v>
      </c>
      <c r="AX7" s="5" t="e">
        <v>#NULL!</v>
      </c>
      <c r="AY7" s="5" t="e">
        <v>#NULL!</v>
      </c>
      <c r="AZ7" s="5" t="e">
        <v>#NULL!</v>
      </c>
      <c r="BA7" s="4" t="s">
        <v>162</v>
      </c>
      <c r="BB7" s="6">
        <v>57.454000000000001</v>
      </c>
      <c r="BC7" s="6">
        <v>19.367000000000001</v>
      </c>
      <c r="BD7" s="7">
        <v>10.07</v>
      </c>
    </row>
    <row r="8" spans="1:56" x14ac:dyDescent="0.25">
      <c r="A8" s="76" t="s">
        <v>163</v>
      </c>
      <c r="B8" s="90">
        <v>1</v>
      </c>
      <c r="C8" s="83">
        <v>2</v>
      </c>
      <c r="D8" s="19">
        <v>0</v>
      </c>
      <c r="E8" s="19">
        <v>38</v>
      </c>
      <c r="F8" s="19">
        <v>0</v>
      </c>
      <c r="G8" s="19">
        <v>92</v>
      </c>
      <c r="H8" s="20">
        <v>1.64</v>
      </c>
      <c r="I8" s="19">
        <v>0</v>
      </c>
      <c r="J8" s="19">
        <v>1</v>
      </c>
      <c r="K8" s="19">
        <v>0</v>
      </c>
      <c r="L8" s="19">
        <v>0</v>
      </c>
      <c r="M8" s="21" t="e">
        <v>#NULL!</v>
      </c>
      <c r="N8" s="21" t="e">
        <v>#NULL!</v>
      </c>
      <c r="O8" s="22" t="s">
        <v>56</v>
      </c>
      <c r="P8" s="19">
        <v>2</v>
      </c>
      <c r="Q8" s="19">
        <v>1</v>
      </c>
      <c r="R8" s="22" t="s">
        <v>57</v>
      </c>
      <c r="S8" s="22" t="s">
        <v>57</v>
      </c>
      <c r="T8" s="23">
        <v>34.205829863176689</v>
      </c>
      <c r="U8" s="21" t="e">
        <v>#NULL!</v>
      </c>
      <c r="V8" s="121" t="e">
        <v>#NULL!</v>
      </c>
      <c r="W8" s="50"/>
      <c r="X8" s="4"/>
      <c r="Y8" s="4"/>
      <c r="Z8" s="4"/>
      <c r="AA8" s="4" t="s">
        <v>59</v>
      </c>
      <c r="AB8" s="5" t="e">
        <v>#NULL!</v>
      </c>
      <c r="AC8" s="4"/>
      <c r="AD8" s="2">
        <v>0</v>
      </c>
      <c r="AE8" s="4"/>
      <c r="AF8" s="5" t="e">
        <v>#NULL!</v>
      </c>
      <c r="AG8" s="2">
        <v>38</v>
      </c>
      <c r="AH8" s="3">
        <v>0</v>
      </c>
      <c r="AI8" s="5" t="e">
        <v>#NULL!</v>
      </c>
      <c r="AJ8" s="4"/>
      <c r="AK8" s="2">
        <v>0</v>
      </c>
      <c r="AL8" s="2">
        <v>0</v>
      </c>
      <c r="AM8" s="2">
        <v>0</v>
      </c>
      <c r="AN8" s="4"/>
      <c r="AO8" s="2">
        <v>38</v>
      </c>
      <c r="AP8" s="3">
        <v>3.6635616461296463</v>
      </c>
      <c r="AQ8" s="2">
        <v>30</v>
      </c>
      <c r="AR8" s="3">
        <v>3.4011973816621555</v>
      </c>
      <c r="AS8" s="5" t="e">
        <v>#NULL!</v>
      </c>
      <c r="AT8" s="5" t="e">
        <v>#NULL!</v>
      </c>
      <c r="AU8" s="5" t="e">
        <v>#NULL!</v>
      </c>
      <c r="AV8" s="5" t="e">
        <v>#NULL!</v>
      </c>
      <c r="AW8" s="5" t="e">
        <v>#NULL!</v>
      </c>
      <c r="AX8" s="5" t="e">
        <v>#NULL!</v>
      </c>
      <c r="AY8" s="5" t="e">
        <v>#NULL!</v>
      </c>
      <c r="AZ8" s="5" t="e">
        <v>#NULL!</v>
      </c>
      <c r="BA8" s="4" t="s">
        <v>163</v>
      </c>
      <c r="BB8" s="6">
        <v>81.613</v>
      </c>
      <c r="BC8" s="6">
        <v>19.911999999999999</v>
      </c>
      <c r="BD8" s="7">
        <v>14.407999999999999</v>
      </c>
    </row>
    <row r="9" spans="1:56" x14ac:dyDescent="0.25">
      <c r="A9" s="76" t="s">
        <v>164</v>
      </c>
      <c r="B9" s="90">
        <v>1</v>
      </c>
      <c r="C9" s="83">
        <v>2</v>
      </c>
      <c r="D9" s="19">
        <v>0</v>
      </c>
      <c r="E9" s="19">
        <v>42</v>
      </c>
      <c r="F9" s="19">
        <v>0</v>
      </c>
      <c r="G9" s="19">
        <v>80</v>
      </c>
      <c r="H9" s="20">
        <v>1.65</v>
      </c>
      <c r="I9" s="19">
        <v>1</v>
      </c>
      <c r="J9" s="19">
        <v>0</v>
      </c>
      <c r="K9" s="19">
        <v>1</v>
      </c>
      <c r="L9" s="19">
        <v>16</v>
      </c>
      <c r="M9" s="21" t="e">
        <v>#NULL!</v>
      </c>
      <c r="N9" s="21" t="e">
        <v>#NULL!</v>
      </c>
      <c r="O9" s="22" t="s">
        <v>56</v>
      </c>
      <c r="P9" s="19">
        <v>2</v>
      </c>
      <c r="Q9" s="19">
        <v>0</v>
      </c>
      <c r="R9" s="22" t="s">
        <v>57</v>
      </c>
      <c r="S9" s="22" t="s">
        <v>57</v>
      </c>
      <c r="T9" s="23">
        <v>29.384756657483933</v>
      </c>
      <c r="U9" s="21" t="e">
        <v>#NULL!</v>
      </c>
      <c r="V9" s="121" t="e">
        <v>#NULL!</v>
      </c>
      <c r="W9" s="50"/>
      <c r="X9" s="4"/>
      <c r="Y9" s="4"/>
      <c r="Z9" s="4"/>
      <c r="AA9" s="4" t="s">
        <v>59</v>
      </c>
      <c r="AB9" s="5" t="e">
        <v>#NULL!</v>
      </c>
      <c r="AC9" s="4"/>
      <c r="AD9" s="2">
        <v>8</v>
      </c>
      <c r="AE9" s="4"/>
      <c r="AF9" s="5" t="e">
        <v>#NULL!</v>
      </c>
      <c r="AG9" s="2">
        <v>42</v>
      </c>
      <c r="AH9" s="3">
        <v>0</v>
      </c>
      <c r="AI9" s="5" t="e">
        <v>#NULL!</v>
      </c>
      <c r="AJ9" s="4"/>
      <c r="AK9" s="2">
        <v>0</v>
      </c>
      <c r="AL9" s="2">
        <v>0</v>
      </c>
      <c r="AM9" s="2">
        <v>0</v>
      </c>
      <c r="AN9" s="4"/>
      <c r="AO9" s="2">
        <v>16.5</v>
      </c>
      <c r="AP9" s="3">
        <v>2.8622008809294686</v>
      </c>
      <c r="AQ9" s="2">
        <v>22</v>
      </c>
      <c r="AR9" s="3">
        <v>3.0910424533583161</v>
      </c>
      <c r="AS9" s="5" t="e">
        <v>#NULL!</v>
      </c>
      <c r="AT9" s="5" t="e">
        <v>#NULL!</v>
      </c>
      <c r="AU9" s="5" t="e">
        <v>#NULL!</v>
      </c>
      <c r="AV9" s="5" t="e">
        <v>#NULL!</v>
      </c>
      <c r="AW9" s="5" t="e">
        <v>#NULL!</v>
      </c>
      <c r="AX9" s="5" t="e">
        <v>#NULL!</v>
      </c>
      <c r="AY9" s="5" t="e">
        <v>#NULL!</v>
      </c>
      <c r="AZ9" s="5" t="e">
        <v>#NULL!</v>
      </c>
      <c r="BA9" s="4" t="s">
        <v>164</v>
      </c>
      <c r="BB9" s="6">
        <v>65.84</v>
      </c>
      <c r="BC9" s="6">
        <v>41.511000000000003</v>
      </c>
      <c r="BD9" s="7">
        <v>38.328000000000003</v>
      </c>
    </row>
    <row r="10" spans="1:56" x14ac:dyDescent="0.25">
      <c r="A10" s="76" t="s">
        <v>165</v>
      </c>
      <c r="B10" s="90">
        <v>1</v>
      </c>
      <c r="C10" s="83">
        <v>2</v>
      </c>
      <c r="D10" s="19">
        <v>0</v>
      </c>
      <c r="E10" s="19">
        <v>34</v>
      </c>
      <c r="F10" s="19">
        <v>1</v>
      </c>
      <c r="G10" s="19">
        <v>80</v>
      </c>
      <c r="H10" s="20">
        <v>1.76</v>
      </c>
      <c r="I10" s="19">
        <v>1</v>
      </c>
      <c r="J10" s="19">
        <v>0</v>
      </c>
      <c r="K10" s="19">
        <v>1</v>
      </c>
      <c r="L10" s="19">
        <v>7.5</v>
      </c>
      <c r="M10" s="21" t="e">
        <v>#NULL!</v>
      </c>
      <c r="N10" s="21" t="e">
        <v>#NULL!</v>
      </c>
      <c r="O10" s="22" t="s">
        <v>56</v>
      </c>
      <c r="P10" s="19">
        <v>1</v>
      </c>
      <c r="Q10" s="19">
        <v>1</v>
      </c>
      <c r="R10" s="22" t="s">
        <v>56</v>
      </c>
      <c r="S10" s="22" t="s">
        <v>57</v>
      </c>
      <c r="T10" s="23">
        <v>25.826446280991735</v>
      </c>
      <c r="U10" s="21" t="e">
        <v>#NULL!</v>
      </c>
      <c r="V10" s="121" t="e">
        <v>#NULL!</v>
      </c>
      <c r="W10" s="50"/>
      <c r="X10" s="4"/>
      <c r="Y10" s="4"/>
      <c r="Z10" s="4"/>
      <c r="AA10" s="4" t="s">
        <v>59</v>
      </c>
      <c r="AB10" s="5" t="e">
        <v>#NULL!</v>
      </c>
      <c r="AC10" s="4"/>
      <c r="AD10" s="2">
        <v>8</v>
      </c>
      <c r="AE10" s="4"/>
      <c r="AF10" s="5" t="e">
        <v>#NULL!</v>
      </c>
      <c r="AG10" s="2">
        <v>34</v>
      </c>
      <c r="AH10" s="3">
        <v>0</v>
      </c>
      <c r="AI10" s="5" t="e">
        <v>#NULL!</v>
      </c>
      <c r="AJ10" s="4"/>
      <c r="AK10" s="2">
        <v>0</v>
      </c>
      <c r="AL10" s="2">
        <v>0</v>
      </c>
      <c r="AM10" s="2">
        <v>0</v>
      </c>
      <c r="AN10" s="4"/>
      <c r="AO10" s="2">
        <v>19</v>
      </c>
      <c r="AP10" s="3">
        <v>2.9957322735539909</v>
      </c>
      <c r="AQ10" s="2">
        <v>15</v>
      </c>
      <c r="AR10" s="3">
        <v>2.7080502011022101</v>
      </c>
      <c r="AS10" s="5" t="e">
        <v>#NULL!</v>
      </c>
      <c r="AT10" s="5" t="e">
        <v>#NULL!</v>
      </c>
      <c r="AU10" s="5" t="e">
        <v>#NULL!</v>
      </c>
      <c r="AV10" s="5" t="e">
        <v>#NULL!</v>
      </c>
      <c r="AW10" s="5" t="e">
        <v>#NULL!</v>
      </c>
      <c r="AX10" s="5" t="e">
        <v>#NULL!</v>
      </c>
      <c r="AY10" s="5" t="e">
        <v>#NULL!</v>
      </c>
      <c r="AZ10" s="5" t="e">
        <v>#NULL!</v>
      </c>
      <c r="BA10" s="4" t="s">
        <v>165</v>
      </c>
      <c r="BB10" s="6">
        <v>51.499000000000002</v>
      </c>
      <c r="BC10" s="6">
        <v>39.624000000000002</v>
      </c>
      <c r="BD10" s="7">
        <v>32.4</v>
      </c>
    </row>
    <row r="11" spans="1:56" x14ac:dyDescent="0.25">
      <c r="A11" s="76" t="s">
        <v>166</v>
      </c>
      <c r="B11" s="90">
        <v>1</v>
      </c>
      <c r="C11" s="83">
        <v>2</v>
      </c>
      <c r="D11" s="19">
        <v>0</v>
      </c>
      <c r="E11" s="19">
        <v>26</v>
      </c>
      <c r="F11" s="19">
        <v>0</v>
      </c>
      <c r="G11" s="19">
        <v>71</v>
      </c>
      <c r="H11" s="20">
        <v>1.76</v>
      </c>
      <c r="I11" s="19">
        <v>0</v>
      </c>
      <c r="J11" s="19">
        <v>1</v>
      </c>
      <c r="K11" s="19">
        <v>0</v>
      </c>
      <c r="L11" s="19">
        <v>0</v>
      </c>
      <c r="M11" s="21" t="e">
        <v>#NULL!</v>
      </c>
      <c r="N11" s="21" t="e">
        <v>#NULL!</v>
      </c>
      <c r="O11" s="22" t="s">
        <v>56</v>
      </c>
      <c r="P11" s="19">
        <v>2</v>
      </c>
      <c r="Q11" s="19">
        <v>1</v>
      </c>
      <c r="R11" s="22" t="s">
        <v>56</v>
      </c>
      <c r="S11" s="22" t="s">
        <v>57</v>
      </c>
      <c r="T11" s="23">
        <v>22.920971074380166</v>
      </c>
      <c r="U11" s="21" t="e">
        <v>#NULL!</v>
      </c>
      <c r="V11" s="121" t="e">
        <v>#NULL!</v>
      </c>
      <c r="W11" s="50"/>
      <c r="X11" s="4"/>
      <c r="Y11" s="4"/>
      <c r="Z11" s="4"/>
      <c r="AA11" s="4" t="s">
        <v>59</v>
      </c>
      <c r="AB11" s="5" t="e">
        <v>#NULL!</v>
      </c>
      <c r="AC11" s="4"/>
      <c r="AD11" s="2">
        <v>572</v>
      </c>
      <c r="AE11" s="4"/>
      <c r="AF11" s="5" t="e">
        <v>#NULL!</v>
      </c>
      <c r="AG11" s="2">
        <v>14</v>
      </c>
      <c r="AH11" s="3">
        <v>12</v>
      </c>
      <c r="AI11" s="5" t="e">
        <v>#NULL!</v>
      </c>
      <c r="AJ11" s="4"/>
      <c r="AK11" s="2">
        <v>1</v>
      </c>
      <c r="AL11" s="2">
        <v>-3.5</v>
      </c>
      <c r="AM11" s="2">
        <v>-3.5</v>
      </c>
      <c r="AN11" s="4"/>
      <c r="AO11" s="2">
        <v>36</v>
      </c>
      <c r="AP11" s="3">
        <v>3.6109179126442243</v>
      </c>
      <c r="AQ11" s="2">
        <v>22</v>
      </c>
      <c r="AR11" s="3">
        <v>3.0910424533583161</v>
      </c>
      <c r="AS11" s="5" t="e">
        <v>#NULL!</v>
      </c>
      <c r="AT11" s="5" t="e">
        <v>#NULL!</v>
      </c>
      <c r="AU11" s="5" t="e">
        <v>#NULL!</v>
      </c>
      <c r="AV11" s="5" t="e">
        <v>#NULL!</v>
      </c>
      <c r="AW11" s="5" t="e">
        <v>#NULL!</v>
      </c>
      <c r="AX11" s="5" t="e">
        <v>#NULL!</v>
      </c>
      <c r="AY11" s="5" t="e">
        <v>#NULL!</v>
      </c>
      <c r="AZ11" s="5" t="e">
        <v>#NULL!</v>
      </c>
      <c r="BA11" s="4" t="s">
        <v>166</v>
      </c>
      <c r="BB11" s="6">
        <v>62.814</v>
      </c>
      <c r="BC11" s="6">
        <v>139.83000000000001</v>
      </c>
      <c r="BD11" s="7">
        <v>144.63999999999999</v>
      </c>
    </row>
    <row r="12" spans="1:56" x14ac:dyDescent="0.25">
      <c r="A12" s="76" t="s">
        <v>167</v>
      </c>
      <c r="B12" s="90">
        <v>1</v>
      </c>
      <c r="C12" s="83">
        <v>2</v>
      </c>
      <c r="D12" s="19">
        <v>0</v>
      </c>
      <c r="E12" s="19">
        <v>27</v>
      </c>
      <c r="F12" s="19">
        <v>0</v>
      </c>
      <c r="G12" s="19">
        <v>61.5</v>
      </c>
      <c r="H12" s="20">
        <v>1.74</v>
      </c>
      <c r="I12" s="19">
        <v>0</v>
      </c>
      <c r="J12" s="19">
        <v>1</v>
      </c>
      <c r="K12" s="19">
        <v>1</v>
      </c>
      <c r="L12" s="19">
        <v>5</v>
      </c>
      <c r="M12" s="21" t="e">
        <v>#NULL!</v>
      </c>
      <c r="N12" s="21" t="e">
        <v>#NULL!</v>
      </c>
      <c r="O12" s="22" t="s">
        <v>56</v>
      </c>
      <c r="P12" s="19">
        <v>3</v>
      </c>
      <c r="Q12" s="19">
        <v>1</v>
      </c>
      <c r="R12" s="22" t="s">
        <v>56</v>
      </c>
      <c r="S12" s="22" t="s">
        <v>57</v>
      </c>
      <c r="T12" s="23">
        <v>20.313119302417757</v>
      </c>
      <c r="U12" s="21" t="e">
        <v>#NULL!</v>
      </c>
      <c r="V12" s="121" t="e">
        <v>#NULL!</v>
      </c>
      <c r="W12" s="50"/>
      <c r="X12" s="4"/>
      <c r="Y12" s="4"/>
      <c r="Z12" s="4"/>
      <c r="AA12" s="4" t="s">
        <v>59</v>
      </c>
      <c r="AB12" s="5" t="e">
        <v>#NULL!</v>
      </c>
      <c r="AC12" s="4"/>
      <c r="AD12" s="2">
        <v>288</v>
      </c>
      <c r="AE12" s="4"/>
      <c r="AF12" s="5" t="e">
        <v>#NULL!</v>
      </c>
      <c r="AG12" s="2">
        <v>21</v>
      </c>
      <c r="AH12" s="3">
        <v>6</v>
      </c>
      <c r="AI12" s="5" t="e">
        <v>#NULL!</v>
      </c>
      <c r="AJ12" s="4"/>
      <c r="AK12" s="2">
        <v>2</v>
      </c>
      <c r="AL12" s="2">
        <v>2.75</v>
      </c>
      <c r="AM12" s="2">
        <v>2.5</v>
      </c>
      <c r="AN12" s="4"/>
      <c r="AO12" s="2">
        <v>22.5</v>
      </c>
      <c r="AP12" s="3">
        <v>3.1570004211501135</v>
      </c>
      <c r="AQ12" s="2">
        <v>18</v>
      </c>
      <c r="AR12" s="3">
        <v>2.8903717578961645</v>
      </c>
      <c r="AS12" s="5" t="e">
        <v>#NULL!</v>
      </c>
      <c r="AT12" s="5" t="e">
        <v>#NULL!</v>
      </c>
      <c r="AU12" s="5" t="e">
        <v>#NULL!</v>
      </c>
      <c r="AV12" s="5" t="e">
        <v>#NULL!</v>
      </c>
      <c r="AW12" s="5" t="e">
        <v>#NULL!</v>
      </c>
      <c r="AX12" s="5" t="e">
        <v>#NULL!</v>
      </c>
      <c r="AY12" s="5" t="e">
        <v>#NULL!</v>
      </c>
      <c r="AZ12" s="5" t="e">
        <v>#NULL!</v>
      </c>
      <c r="BA12" s="4" t="s">
        <v>167</v>
      </c>
      <c r="BB12" s="6">
        <v>62.113999999999997</v>
      </c>
      <c r="BC12" s="6">
        <v>82.843000000000004</v>
      </c>
      <c r="BD12" s="7">
        <v>105.03</v>
      </c>
    </row>
    <row r="13" spans="1:56" x14ac:dyDescent="0.25">
      <c r="A13" s="76" t="s">
        <v>168</v>
      </c>
      <c r="B13" s="90">
        <v>1</v>
      </c>
      <c r="C13" s="83">
        <v>2</v>
      </c>
      <c r="D13" s="19">
        <v>0</v>
      </c>
      <c r="E13" s="19">
        <v>36</v>
      </c>
      <c r="F13" s="19">
        <v>0</v>
      </c>
      <c r="G13" s="19">
        <v>58</v>
      </c>
      <c r="H13" s="20">
        <v>1.63</v>
      </c>
      <c r="I13" s="19">
        <v>0</v>
      </c>
      <c r="J13" s="19">
        <v>1</v>
      </c>
      <c r="K13" s="19">
        <v>0</v>
      </c>
      <c r="L13" s="19">
        <v>0</v>
      </c>
      <c r="M13" s="21" t="e">
        <v>#NULL!</v>
      </c>
      <c r="N13" s="21" t="e">
        <v>#NULL!</v>
      </c>
      <c r="O13" s="22" t="s">
        <v>56</v>
      </c>
      <c r="P13" s="19">
        <v>1</v>
      </c>
      <c r="Q13" s="19">
        <v>0</v>
      </c>
      <c r="R13" s="22" t="s">
        <v>57</v>
      </c>
      <c r="S13" s="22" t="s">
        <v>57</v>
      </c>
      <c r="T13" s="23">
        <v>21.829952199932254</v>
      </c>
      <c r="U13" s="21" t="e">
        <v>#NULL!</v>
      </c>
      <c r="V13" s="121" t="e">
        <v>#NULL!</v>
      </c>
      <c r="W13" s="50"/>
      <c r="X13" s="4"/>
      <c r="Y13" s="4"/>
      <c r="Z13" s="4"/>
      <c r="AA13" s="4" t="s">
        <v>59</v>
      </c>
      <c r="AB13" s="5" t="e">
        <v>#NULL!</v>
      </c>
      <c r="AC13" s="4"/>
      <c r="AD13" s="2">
        <v>12</v>
      </c>
      <c r="AE13" s="4"/>
      <c r="AF13" s="5" t="e">
        <v>#NULL!</v>
      </c>
      <c r="AG13" s="2">
        <v>36</v>
      </c>
      <c r="AH13" s="3">
        <v>0</v>
      </c>
      <c r="AI13" s="5" t="e">
        <v>#NULL!</v>
      </c>
      <c r="AJ13" s="4"/>
      <c r="AK13" s="2">
        <v>0</v>
      </c>
      <c r="AL13" s="2">
        <v>0</v>
      </c>
      <c r="AM13" s="2">
        <v>0</v>
      </c>
      <c r="AN13" s="4"/>
      <c r="AO13" s="2">
        <v>29</v>
      </c>
      <c r="AP13" s="3">
        <v>3.4011973816621555</v>
      </c>
      <c r="AQ13" s="2">
        <v>28</v>
      </c>
      <c r="AR13" s="3">
        <v>3.3322045101752038</v>
      </c>
      <c r="AS13" s="5" t="e">
        <v>#NULL!</v>
      </c>
      <c r="AT13" s="5" t="e">
        <v>#NULL!</v>
      </c>
      <c r="AU13" s="5" t="e">
        <v>#NULL!</v>
      </c>
      <c r="AV13" s="5" t="e">
        <v>#NULL!</v>
      </c>
      <c r="AW13" s="5" t="e">
        <v>#NULL!</v>
      </c>
      <c r="AX13" s="5" t="e">
        <v>#NULL!</v>
      </c>
      <c r="AY13" s="5" t="e">
        <v>#NULL!</v>
      </c>
      <c r="AZ13" s="5" t="e">
        <v>#NULL!</v>
      </c>
      <c r="BA13" s="4" t="s">
        <v>168</v>
      </c>
      <c r="BB13" s="6">
        <v>65.507000000000005</v>
      </c>
      <c r="BC13" s="6">
        <v>23.227</v>
      </c>
      <c r="BD13" s="7">
        <v>19.145</v>
      </c>
    </row>
    <row r="14" spans="1:56" x14ac:dyDescent="0.25">
      <c r="A14" s="76" t="s">
        <v>169</v>
      </c>
      <c r="B14" s="90">
        <v>1</v>
      </c>
      <c r="C14" s="83">
        <v>2</v>
      </c>
      <c r="D14" s="19">
        <v>0</v>
      </c>
      <c r="E14" s="19">
        <v>28</v>
      </c>
      <c r="F14" s="19">
        <v>1</v>
      </c>
      <c r="G14" s="19">
        <v>92</v>
      </c>
      <c r="H14" s="20">
        <v>1.9</v>
      </c>
      <c r="I14" s="19">
        <v>0</v>
      </c>
      <c r="J14" s="19">
        <v>1</v>
      </c>
      <c r="K14" s="19">
        <v>1</v>
      </c>
      <c r="L14" s="19">
        <v>15</v>
      </c>
      <c r="M14" s="21" t="e">
        <v>#NULL!</v>
      </c>
      <c r="N14" s="21" t="e">
        <v>#NULL!</v>
      </c>
      <c r="O14" s="22" t="s">
        <v>57</v>
      </c>
      <c r="P14" s="19">
        <v>0</v>
      </c>
      <c r="Q14" s="19">
        <v>1</v>
      </c>
      <c r="R14" s="22" t="s">
        <v>56</v>
      </c>
      <c r="S14" s="22" t="s">
        <v>57</v>
      </c>
      <c r="T14" s="23">
        <v>25.48476454293629</v>
      </c>
      <c r="U14" s="21" t="e">
        <v>#NULL!</v>
      </c>
      <c r="V14" s="121" t="e">
        <v>#NULL!</v>
      </c>
      <c r="W14" s="50"/>
      <c r="X14" s="4"/>
      <c r="Y14" s="4"/>
      <c r="Z14" s="4"/>
      <c r="AA14" s="4" t="s">
        <v>59</v>
      </c>
      <c r="AB14" s="5" t="e">
        <v>#NULL!</v>
      </c>
      <c r="AC14" s="4"/>
      <c r="AD14" s="2">
        <v>4</v>
      </c>
      <c r="AE14" s="4"/>
      <c r="AF14" s="5" t="e">
        <v>#NULL!</v>
      </c>
      <c r="AG14" s="2">
        <v>28</v>
      </c>
      <c r="AH14" s="3">
        <v>0</v>
      </c>
      <c r="AI14" s="5" t="e">
        <v>#NULL!</v>
      </c>
      <c r="AJ14" s="4"/>
      <c r="AK14" s="2">
        <v>1</v>
      </c>
      <c r="AL14" s="2">
        <v>-1</v>
      </c>
      <c r="AM14" s="2">
        <v>-1</v>
      </c>
      <c r="AN14" s="4"/>
      <c r="AO14" s="2">
        <v>19</v>
      </c>
      <c r="AP14" s="3">
        <v>2.9957322735539909</v>
      </c>
      <c r="AQ14" s="2">
        <v>21</v>
      </c>
      <c r="AR14" s="3">
        <v>3.044522437723423</v>
      </c>
      <c r="AS14" s="5" t="e">
        <v>#NULL!</v>
      </c>
      <c r="AT14" s="5" t="e">
        <v>#NULL!</v>
      </c>
      <c r="AU14" s="5" t="e">
        <v>#NULL!</v>
      </c>
      <c r="AV14" s="5" t="e">
        <v>#NULL!</v>
      </c>
      <c r="AW14" s="5" t="e">
        <v>#NULL!</v>
      </c>
      <c r="AX14" s="5" t="e">
        <v>#NULL!</v>
      </c>
      <c r="AY14" s="5" t="e">
        <v>#NULL!</v>
      </c>
      <c r="AZ14" s="5" t="e">
        <v>#NULL!</v>
      </c>
      <c r="BA14" s="4" t="s">
        <v>169</v>
      </c>
      <c r="BB14" s="6">
        <v>82.766000000000005</v>
      </c>
      <c r="BC14" s="6">
        <v>40.209000000000003</v>
      </c>
      <c r="BD14" s="7">
        <v>19.649000000000001</v>
      </c>
    </row>
    <row r="15" spans="1:56" x14ac:dyDescent="0.25">
      <c r="A15" s="76" t="s">
        <v>170</v>
      </c>
      <c r="B15" s="90">
        <v>1</v>
      </c>
      <c r="C15" s="83">
        <v>2</v>
      </c>
      <c r="D15" s="19">
        <v>0</v>
      </c>
      <c r="E15" s="19">
        <v>29</v>
      </c>
      <c r="F15" s="19">
        <v>0</v>
      </c>
      <c r="G15" s="19">
        <v>58</v>
      </c>
      <c r="H15" s="20">
        <v>1.7</v>
      </c>
      <c r="I15" s="19">
        <v>0</v>
      </c>
      <c r="J15" s="19">
        <v>1</v>
      </c>
      <c r="K15" s="19">
        <v>0</v>
      </c>
      <c r="L15" s="19">
        <v>0</v>
      </c>
      <c r="M15" s="21" t="e">
        <v>#NULL!</v>
      </c>
      <c r="N15" s="21" t="e">
        <v>#NULL!</v>
      </c>
      <c r="O15" s="22" t="s">
        <v>57</v>
      </c>
      <c r="P15" s="19">
        <v>0</v>
      </c>
      <c r="Q15" s="19">
        <v>0</v>
      </c>
      <c r="R15" s="22" t="s">
        <v>57</v>
      </c>
      <c r="S15" s="22" t="s">
        <v>57</v>
      </c>
      <c r="T15" s="23">
        <v>20.069204152249139</v>
      </c>
      <c r="U15" s="21" t="e">
        <v>#NULL!</v>
      </c>
      <c r="V15" s="121" t="e">
        <v>#NULL!</v>
      </c>
      <c r="W15" s="50"/>
      <c r="X15" s="4"/>
      <c r="Y15" s="4"/>
      <c r="Z15" s="4"/>
      <c r="AA15" s="4" t="s">
        <v>59</v>
      </c>
      <c r="AB15" s="5" t="e">
        <v>#NULL!</v>
      </c>
      <c r="AC15" s="4"/>
      <c r="AD15" s="2">
        <v>8</v>
      </c>
      <c r="AE15" s="4"/>
      <c r="AF15" s="5" t="e">
        <v>#NULL!</v>
      </c>
      <c r="AG15" s="2">
        <v>29</v>
      </c>
      <c r="AH15" s="3">
        <v>0</v>
      </c>
      <c r="AI15" s="5" t="e">
        <v>#NULL!</v>
      </c>
      <c r="AJ15" s="4"/>
      <c r="AK15" s="2">
        <v>0</v>
      </c>
      <c r="AL15" s="2">
        <v>0</v>
      </c>
      <c r="AM15" s="2">
        <v>0</v>
      </c>
      <c r="AN15" s="4"/>
      <c r="AO15" s="2">
        <v>8</v>
      </c>
      <c r="AP15" s="3">
        <v>2.1972245773362196</v>
      </c>
      <c r="AQ15" s="2">
        <v>18</v>
      </c>
      <c r="AR15" s="3">
        <v>2.8903717578961645</v>
      </c>
      <c r="AS15" s="5" t="e">
        <v>#NULL!</v>
      </c>
      <c r="AT15" s="5" t="e">
        <v>#NULL!</v>
      </c>
      <c r="AU15" s="5" t="e">
        <v>#NULL!</v>
      </c>
      <c r="AV15" s="5" t="e">
        <v>#NULL!</v>
      </c>
      <c r="AW15" s="5" t="e">
        <v>#NULL!</v>
      </c>
      <c r="AX15" s="5" t="e">
        <v>#NULL!</v>
      </c>
      <c r="AY15" s="5" t="e">
        <v>#NULL!</v>
      </c>
      <c r="AZ15" s="5" t="e">
        <v>#NULL!</v>
      </c>
      <c r="BA15" s="4" t="s">
        <v>170</v>
      </c>
      <c r="BB15" s="6">
        <v>80.64</v>
      </c>
      <c r="BC15" s="6">
        <v>22.4</v>
      </c>
      <c r="BD15" s="7">
        <v>15.750999999999999</v>
      </c>
    </row>
    <row r="16" spans="1:56" x14ac:dyDescent="0.25">
      <c r="A16" s="76" t="s">
        <v>171</v>
      </c>
      <c r="B16" s="90">
        <v>1</v>
      </c>
      <c r="C16" s="83">
        <v>2</v>
      </c>
      <c r="D16" s="19">
        <v>0</v>
      </c>
      <c r="E16" s="19">
        <v>36</v>
      </c>
      <c r="F16" s="19">
        <v>1</v>
      </c>
      <c r="G16" s="19">
        <v>80</v>
      </c>
      <c r="H16" s="20">
        <v>1.9</v>
      </c>
      <c r="I16" s="19">
        <v>1</v>
      </c>
      <c r="J16" s="19">
        <v>0</v>
      </c>
      <c r="K16" s="19">
        <v>1</v>
      </c>
      <c r="L16" s="19">
        <v>15</v>
      </c>
      <c r="M16" s="21" t="e">
        <v>#NULL!</v>
      </c>
      <c r="N16" s="21" t="e">
        <v>#NULL!</v>
      </c>
      <c r="O16" s="22" t="s">
        <v>57</v>
      </c>
      <c r="P16" s="19">
        <v>0</v>
      </c>
      <c r="Q16" s="19">
        <v>1</v>
      </c>
      <c r="R16" s="22" t="s">
        <v>56</v>
      </c>
      <c r="S16" s="22" t="s">
        <v>57</v>
      </c>
      <c r="T16" s="23">
        <v>22.1606648199446</v>
      </c>
      <c r="U16" s="21" t="e">
        <v>#NULL!</v>
      </c>
      <c r="V16" s="121" t="e">
        <v>#NULL!</v>
      </c>
      <c r="W16" s="50"/>
      <c r="X16" s="4"/>
      <c r="Y16" s="4"/>
      <c r="Z16" s="4"/>
      <c r="AA16" s="4" t="s">
        <v>59</v>
      </c>
      <c r="AB16" s="5" t="e">
        <v>#NULL!</v>
      </c>
      <c r="AC16" s="4"/>
      <c r="AD16" s="2">
        <v>336</v>
      </c>
      <c r="AE16" s="4"/>
      <c r="AF16" s="5" t="e">
        <v>#NULL!</v>
      </c>
      <c r="AG16" s="2">
        <v>29</v>
      </c>
      <c r="AH16" s="3">
        <v>7</v>
      </c>
      <c r="AI16" s="5" t="e">
        <v>#NULL!</v>
      </c>
      <c r="AJ16" s="4"/>
      <c r="AK16" s="2">
        <v>0</v>
      </c>
      <c r="AL16" s="2">
        <v>0</v>
      </c>
      <c r="AM16" s="2">
        <v>0</v>
      </c>
      <c r="AN16" s="4"/>
      <c r="AO16" s="2">
        <v>33</v>
      </c>
      <c r="AP16" s="3">
        <v>3.5263605246161616</v>
      </c>
      <c r="AQ16" s="2">
        <v>29</v>
      </c>
      <c r="AR16" s="3">
        <v>3.3672958299864741</v>
      </c>
      <c r="AS16" s="5" t="e">
        <v>#NULL!</v>
      </c>
      <c r="AT16" s="5" t="e">
        <v>#NULL!</v>
      </c>
      <c r="AU16" s="5" t="e">
        <v>#NULL!</v>
      </c>
      <c r="AV16" s="5" t="e">
        <v>#NULL!</v>
      </c>
      <c r="AW16" s="5" t="e">
        <v>#NULL!</v>
      </c>
      <c r="AX16" s="5" t="e">
        <v>#NULL!</v>
      </c>
      <c r="AY16" s="5" t="e">
        <v>#NULL!</v>
      </c>
      <c r="AZ16" s="5" t="e">
        <v>#NULL!</v>
      </c>
      <c r="BA16" s="4" t="s">
        <v>171</v>
      </c>
      <c r="BB16" s="6">
        <v>74.533000000000001</v>
      </c>
      <c r="BC16" s="6">
        <v>61.332000000000001</v>
      </c>
      <c r="BD16" s="7">
        <v>34.051000000000002</v>
      </c>
    </row>
    <row r="17" spans="1:56" x14ac:dyDescent="0.25">
      <c r="A17" s="76" t="s">
        <v>172</v>
      </c>
      <c r="B17" s="90">
        <v>1</v>
      </c>
      <c r="C17" s="83">
        <v>2</v>
      </c>
      <c r="D17" s="19">
        <v>0</v>
      </c>
      <c r="E17" s="19">
        <v>26</v>
      </c>
      <c r="F17" s="19">
        <v>0</v>
      </c>
      <c r="G17" s="19">
        <v>52</v>
      </c>
      <c r="H17" s="20">
        <v>1.68</v>
      </c>
      <c r="I17" s="19">
        <v>0</v>
      </c>
      <c r="J17" s="19">
        <v>1</v>
      </c>
      <c r="K17" s="19">
        <v>0</v>
      </c>
      <c r="L17" s="19">
        <v>0</v>
      </c>
      <c r="M17" s="21" t="e">
        <v>#NULL!</v>
      </c>
      <c r="N17" s="21" t="e">
        <v>#NULL!</v>
      </c>
      <c r="O17" s="22" t="s">
        <v>57</v>
      </c>
      <c r="P17" s="19">
        <v>0</v>
      </c>
      <c r="Q17" s="19">
        <v>0</v>
      </c>
      <c r="R17" s="22" t="s">
        <v>57</v>
      </c>
      <c r="S17" s="22" t="s">
        <v>57</v>
      </c>
      <c r="T17" s="23">
        <v>18.424036281179141</v>
      </c>
      <c r="U17" s="21" t="e">
        <v>#NULL!</v>
      </c>
      <c r="V17" s="121" t="e">
        <v>#NULL!</v>
      </c>
      <c r="W17" s="50"/>
      <c r="X17" s="4"/>
      <c r="Y17" s="4"/>
      <c r="Z17" s="4"/>
      <c r="AA17" s="4" t="s">
        <v>59</v>
      </c>
      <c r="AB17" s="5" t="e">
        <v>#NULL!</v>
      </c>
      <c r="AC17" s="4"/>
      <c r="AD17" s="2">
        <v>12</v>
      </c>
      <c r="AE17" s="4"/>
      <c r="AF17" s="5" t="e">
        <v>#NULL!</v>
      </c>
      <c r="AG17" s="2">
        <v>27</v>
      </c>
      <c r="AH17" s="3">
        <v>0</v>
      </c>
      <c r="AI17" s="5" t="e">
        <v>#NULL!</v>
      </c>
      <c r="AJ17" s="4"/>
      <c r="AK17" s="5" t="e">
        <v>#NULL!</v>
      </c>
      <c r="AL17" s="5" t="e">
        <v>#NULL!</v>
      </c>
      <c r="AM17" s="5" t="e">
        <v>#NULL!</v>
      </c>
      <c r="AN17" s="4"/>
      <c r="AO17" s="2">
        <v>20</v>
      </c>
      <c r="AP17" s="3">
        <v>3.044522437723423</v>
      </c>
      <c r="AQ17" s="2">
        <v>15</v>
      </c>
      <c r="AR17" s="3">
        <v>2.7080502011022101</v>
      </c>
      <c r="AS17" s="5" t="e">
        <v>#NULL!</v>
      </c>
      <c r="AT17" s="5" t="e">
        <v>#NULL!</v>
      </c>
      <c r="AU17" s="5" t="e">
        <v>#NULL!</v>
      </c>
      <c r="AV17" s="5" t="e">
        <v>#NULL!</v>
      </c>
      <c r="AW17" s="5" t="e">
        <v>#NULL!</v>
      </c>
      <c r="AX17" s="5" t="e">
        <v>#NULL!</v>
      </c>
      <c r="AY17" s="5" t="e">
        <v>#NULL!</v>
      </c>
      <c r="AZ17" s="5" t="e">
        <v>#NULL!</v>
      </c>
      <c r="BA17" s="4" t="s">
        <v>172</v>
      </c>
      <c r="BB17" s="6">
        <v>88.042000000000002</v>
      </c>
      <c r="BC17" s="6">
        <v>38.476999999999997</v>
      </c>
      <c r="BD17" s="7">
        <v>26.736000000000001</v>
      </c>
    </row>
    <row r="18" spans="1:56" x14ac:dyDescent="0.25">
      <c r="A18" s="94" t="s">
        <v>390</v>
      </c>
      <c r="B18" s="90">
        <v>1</v>
      </c>
      <c r="C18" s="83">
        <v>2</v>
      </c>
      <c r="D18" s="19">
        <v>0</v>
      </c>
      <c r="E18" s="19">
        <v>23</v>
      </c>
      <c r="F18" s="19">
        <v>0</v>
      </c>
      <c r="G18" s="19">
        <v>85</v>
      </c>
      <c r="H18" s="20">
        <v>1.64</v>
      </c>
      <c r="I18" s="19">
        <v>0</v>
      </c>
      <c r="J18" s="19">
        <v>1</v>
      </c>
      <c r="K18" s="19">
        <v>0</v>
      </c>
      <c r="L18" s="19">
        <v>0</v>
      </c>
      <c r="M18" s="21" t="e">
        <v>#NULL!</v>
      </c>
      <c r="N18" s="21" t="e">
        <v>#NULL!</v>
      </c>
      <c r="O18" s="22" t="s">
        <v>57</v>
      </c>
      <c r="P18" s="19">
        <v>0</v>
      </c>
      <c r="Q18" s="19">
        <v>0</v>
      </c>
      <c r="R18" s="22" t="s">
        <v>57</v>
      </c>
      <c r="S18" s="22" t="s">
        <v>57</v>
      </c>
      <c r="T18" s="23">
        <v>31.603212373587155</v>
      </c>
      <c r="U18" s="21" t="e">
        <v>#NULL!</v>
      </c>
      <c r="V18" s="121" t="e">
        <v>#NULL!</v>
      </c>
      <c r="W18" s="50"/>
      <c r="X18" s="4"/>
      <c r="Y18" s="4"/>
      <c r="Z18" s="4"/>
      <c r="AA18" s="4" t="s">
        <v>59</v>
      </c>
      <c r="AB18" s="5" t="e">
        <v>#NULL!</v>
      </c>
      <c r="AC18" s="4"/>
      <c r="AD18" s="2">
        <v>4</v>
      </c>
      <c r="AE18" s="4"/>
      <c r="AF18" s="5" t="e">
        <v>#NULL!</v>
      </c>
      <c r="AG18" s="2">
        <v>23</v>
      </c>
      <c r="AH18" s="3">
        <v>0</v>
      </c>
      <c r="AI18" s="5" t="e">
        <v>#NULL!</v>
      </c>
      <c r="AJ18" s="4"/>
      <c r="AK18" s="2">
        <v>0</v>
      </c>
      <c r="AL18" s="2">
        <v>0</v>
      </c>
      <c r="AM18" s="2">
        <v>0</v>
      </c>
      <c r="AN18" s="4"/>
      <c r="AO18" s="2">
        <v>28</v>
      </c>
      <c r="AP18" s="3">
        <v>3.3672958299864741</v>
      </c>
      <c r="AQ18" s="2">
        <v>24</v>
      </c>
      <c r="AR18" s="3">
        <v>3.1780538303479458</v>
      </c>
      <c r="AS18" s="5" t="e">
        <v>#NULL!</v>
      </c>
      <c r="AT18" s="5" t="e">
        <v>#NULL!</v>
      </c>
      <c r="AU18" s="5" t="e">
        <v>#NULL!</v>
      </c>
      <c r="AV18" s="5" t="e">
        <v>#NULL!</v>
      </c>
      <c r="AW18" s="5" t="e">
        <v>#NULL!</v>
      </c>
      <c r="AX18" s="5" t="e">
        <v>#NULL!</v>
      </c>
      <c r="AY18" s="5" t="e">
        <v>#NULL!</v>
      </c>
      <c r="AZ18" s="5" t="e">
        <v>#NULL!</v>
      </c>
      <c r="BA18" s="4" t="s">
        <v>173</v>
      </c>
      <c r="BB18" s="6">
        <v>85.665000000000006</v>
      </c>
      <c r="BC18" s="6">
        <v>46.500999999999998</v>
      </c>
      <c r="BD18" s="7">
        <v>23.673000000000002</v>
      </c>
    </row>
    <row r="19" spans="1:56" x14ac:dyDescent="0.25">
      <c r="A19" s="76" t="s">
        <v>174</v>
      </c>
      <c r="B19" s="90">
        <v>1</v>
      </c>
      <c r="C19" s="83">
        <v>2</v>
      </c>
      <c r="D19" s="19">
        <v>0</v>
      </c>
      <c r="E19" s="19">
        <v>20</v>
      </c>
      <c r="F19" s="19">
        <v>0</v>
      </c>
      <c r="G19" s="19">
        <v>54</v>
      </c>
      <c r="H19" s="20">
        <v>1.77</v>
      </c>
      <c r="I19" s="19">
        <v>0</v>
      </c>
      <c r="J19" s="19">
        <v>1</v>
      </c>
      <c r="K19" s="19">
        <v>1</v>
      </c>
      <c r="L19" s="19">
        <v>5</v>
      </c>
      <c r="M19" s="21" t="e">
        <v>#NULL!</v>
      </c>
      <c r="N19" s="21" t="e">
        <v>#NULL!</v>
      </c>
      <c r="O19" s="22" t="s">
        <v>57</v>
      </c>
      <c r="P19" s="19">
        <v>0</v>
      </c>
      <c r="Q19" s="19">
        <v>0</v>
      </c>
      <c r="R19" s="22" t="s">
        <v>57</v>
      </c>
      <c r="S19" s="22" t="s">
        <v>57</v>
      </c>
      <c r="T19" s="23">
        <v>17.236426314277505</v>
      </c>
      <c r="U19" s="21" t="e">
        <v>#NULL!</v>
      </c>
      <c r="V19" s="121" t="e">
        <v>#NULL!</v>
      </c>
      <c r="W19" s="50"/>
      <c r="X19" s="4"/>
      <c r="Y19" s="4"/>
      <c r="Z19" s="4"/>
      <c r="AA19" s="4" t="s">
        <v>59</v>
      </c>
      <c r="AB19" s="5" t="e">
        <v>#NULL!</v>
      </c>
      <c r="AC19" s="4"/>
      <c r="AD19" s="2">
        <v>96</v>
      </c>
      <c r="AE19" s="4"/>
      <c r="AF19" s="5" t="e">
        <v>#NULL!</v>
      </c>
      <c r="AG19" s="2">
        <v>18</v>
      </c>
      <c r="AH19" s="3">
        <v>2</v>
      </c>
      <c r="AI19" s="5" t="e">
        <v>#NULL!</v>
      </c>
      <c r="AJ19" s="4"/>
      <c r="AK19" s="2">
        <v>1</v>
      </c>
      <c r="AL19" s="2">
        <v>-1</v>
      </c>
      <c r="AM19" s="2">
        <v>-1.25</v>
      </c>
      <c r="AN19" s="4"/>
      <c r="AO19" s="2">
        <v>43</v>
      </c>
      <c r="AP19" s="3">
        <v>3.784189633918261</v>
      </c>
      <c r="AQ19" s="2">
        <v>29</v>
      </c>
      <c r="AR19" s="3">
        <v>3.3672958299864741</v>
      </c>
      <c r="AS19" s="5" t="e">
        <v>#NULL!</v>
      </c>
      <c r="AT19" s="5" t="e">
        <v>#NULL!</v>
      </c>
      <c r="AU19" s="5" t="e">
        <v>#NULL!</v>
      </c>
      <c r="AV19" s="5" t="e">
        <v>#NULL!</v>
      </c>
      <c r="AW19" s="5" t="e">
        <v>#NULL!</v>
      </c>
      <c r="AX19" s="5" t="e">
        <v>#NULL!</v>
      </c>
      <c r="AY19" s="5" t="e">
        <v>#NULL!</v>
      </c>
      <c r="AZ19" s="5" t="e">
        <v>#NULL!</v>
      </c>
      <c r="BA19" s="4" t="s">
        <v>174</v>
      </c>
      <c r="BB19" s="6">
        <v>78.593999999999994</v>
      </c>
      <c r="BC19" s="6">
        <v>73.891999999999996</v>
      </c>
      <c r="BD19" s="7">
        <v>50.706000000000003</v>
      </c>
    </row>
    <row r="20" spans="1:56" x14ac:dyDescent="0.25">
      <c r="A20" s="76" t="s">
        <v>175</v>
      </c>
      <c r="B20" s="90">
        <v>1</v>
      </c>
      <c r="C20" s="83">
        <v>2</v>
      </c>
      <c r="D20" s="19">
        <v>0</v>
      </c>
      <c r="E20" s="19">
        <v>44</v>
      </c>
      <c r="F20" s="19">
        <v>1</v>
      </c>
      <c r="G20" s="19">
        <v>83</v>
      </c>
      <c r="H20" s="20">
        <v>1.7</v>
      </c>
      <c r="I20" s="19">
        <v>1</v>
      </c>
      <c r="J20" s="19">
        <v>0</v>
      </c>
      <c r="K20" s="19">
        <v>1</v>
      </c>
      <c r="L20" s="19">
        <v>5</v>
      </c>
      <c r="M20" s="21" t="e">
        <v>#NULL!</v>
      </c>
      <c r="N20" s="21" t="e">
        <v>#NULL!</v>
      </c>
      <c r="O20" s="22" t="s">
        <v>56</v>
      </c>
      <c r="P20" s="19">
        <v>3</v>
      </c>
      <c r="Q20" s="19">
        <v>0</v>
      </c>
      <c r="R20" s="22" t="s">
        <v>57</v>
      </c>
      <c r="S20" s="22" t="s">
        <v>57</v>
      </c>
      <c r="T20" s="23">
        <v>28.719723183391007</v>
      </c>
      <c r="U20" s="21" t="e">
        <v>#NULL!</v>
      </c>
      <c r="V20" s="121" t="e">
        <v>#NULL!</v>
      </c>
      <c r="W20" s="50"/>
      <c r="X20" s="4"/>
      <c r="Y20" s="4"/>
      <c r="Z20" s="4"/>
      <c r="AA20" s="4" t="s">
        <v>59</v>
      </c>
      <c r="AB20" s="5" t="e">
        <v>#NULL!</v>
      </c>
      <c r="AC20" s="4"/>
      <c r="AD20" s="2">
        <v>0</v>
      </c>
      <c r="AE20" s="4"/>
      <c r="AF20" s="5" t="e">
        <v>#NULL!</v>
      </c>
      <c r="AG20" s="2">
        <v>44</v>
      </c>
      <c r="AH20" s="3">
        <v>0</v>
      </c>
      <c r="AI20" s="5" t="e">
        <v>#NULL!</v>
      </c>
      <c r="AJ20" s="4"/>
      <c r="AK20" s="2">
        <v>0</v>
      </c>
      <c r="AL20" s="2">
        <v>0</v>
      </c>
      <c r="AM20" s="2">
        <v>0</v>
      </c>
      <c r="AN20" s="4"/>
      <c r="AO20" s="2">
        <v>11</v>
      </c>
      <c r="AP20" s="3">
        <v>2.4849066497880004</v>
      </c>
      <c r="AQ20" s="2">
        <v>25</v>
      </c>
      <c r="AR20" s="3">
        <v>3.2188758248682006</v>
      </c>
      <c r="AS20" s="5" t="e">
        <v>#NULL!</v>
      </c>
      <c r="AT20" s="5" t="e">
        <v>#NULL!</v>
      </c>
      <c r="AU20" s="5" t="e">
        <v>#NULL!</v>
      </c>
      <c r="AV20" s="5" t="e">
        <v>#NULL!</v>
      </c>
      <c r="AW20" s="5" t="e">
        <v>#NULL!</v>
      </c>
      <c r="AX20" s="5" t="e">
        <v>#NULL!</v>
      </c>
      <c r="AY20" s="5" t="e">
        <v>#NULL!</v>
      </c>
      <c r="AZ20" s="5" t="e">
        <v>#NULL!</v>
      </c>
      <c r="BA20" s="4" t="s">
        <v>175</v>
      </c>
      <c r="BB20" s="6">
        <v>71.228999999999999</v>
      </c>
      <c r="BC20" s="6">
        <v>52.808999999999997</v>
      </c>
      <c r="BD20" s="7">
        <v>15.27</v>
      </c>
    </row>
    <row r="21" spans="1:56" x14ac:dyDescent="0.25">
      <c r="A21" s="76" t="s">
        <v>176</v>
      </c>
      <c r="B21" s="90">
        <v>1</v>
      </c>
      <c r="C21" s="83">
        <v>2</v>
      </c>
      <c r="D21" s="19">
        <v>0</v>
      </c>
      <c r="E21" s="19">
        <v>45</v>
      </c>
      <c r="F21" s="19">
        <v>1</v>
      </c>
      <c r="G21" s="19">
        <v>90</v>
      </c>
      <c r="H21" s="20">
        <v>1.86</v>
      </c>
      <c r="I21" s="19">
        <v>1</v>
      </c>
      <c r="J21" s="19">
        <v>0</v>
      </c>
      <c r="K21" s="19">
        <v>0</v>
      </c>
      <c r="L21" s="19">
        <v>0</v>
      </c>
      <c r="M21" s="21" t="e">
        <v>#NULL!</v>
      </c>
      <c r="N21" s="21" t="e">
        <v>#NULL!</v>
      </c>
      <c r="O21" s="22" t="s">
        <v>56</v>
      </c>
      <c r="P21" s="19">
        <v>2</v>
      </c>
      <c r="Q21" s="19">
        <v>0</v>
      </c>
      <c r="R21" s="22" t="s">
        <v>57</v>
      </c>
      <c r="S21" s="22" t="s">
        <v>57</v>
      </c>
      <c r="T21" s="23">
        <v>26.014568158168572</v>
      </c>
      <c r="U21" s="21" t="e">
        <v>#NULL!</v>
      </c>
      <c r="V21" s="121" t="e">
        <v>#NULL!</v>
      </c>
      <c r="W21" s="50"/>
      <c r="X21" s="4"/>
      <c r="Y21" s="4"/>
      <c r="Z21" s="4"/>
      <c r="AA21" s="4" t="s">
        <v>59</v>
      </c>
      <c r="AB21" s="5" t="e">
        <v>#NULL!</v>
      </c>
      <c r="AC21" s="4"/>
      <c r="AD21" s="5" t="e">
        <v>#NULL!</v>
      </c>
      <c r="AE21" s="4"/>
      <c r="AF21" s="5" t="e">
        <v>#NULL!</v>
      </c>
      <c r="AG21" s="5" t="e">
        <v>#NULL!</v>
      </c>
      <c r="AH21" s="3">
        <v>0</v>
      </c>
      <c r="AI21" s="5" t="e">
        <v>#NULL!</v>
      </c>
      <c r="AJ21" s="4"/>
      <c r="AK21" s="2">
        <v>2</v>
      </c>
      <c r="AL21" s="2">
        <v>2</v>
      </c>
      <c r="AM21" s="2">
        <v>2</v>
      </c>
      <c r="AN21" s="4"/>
      <c r="AO21" s="5" t="e">
        <v>#NULL!</v>
      </c>
      <c r="AP21" s="5" t="e">
        <v>#NULL!</v>
      </c>
      <c r="AQ21" s="5" t="e">
        <v>#NULL!</v>
      </c>
      <c r="AR21" s="5" t="e">
        <v>#NULL!</v>
      </c>
      <c r="AS21" s="5" t="e">
        <v>#NULL!</v>
      </c>
      <c r="AT21" s="5" t="e">
        <v>#NULL!</v>
      </c>
      <c r="AU21" s="5" t="e">
        <v>#NULL!</v>
      </c>
      <c r="AV21" s="5" t="e">
        <v>#NULL!</v>
      </c>
      <c r="AW21" s="5" t="e">
        <v>#NULL!</v>
      </c>
      <c r="AX21" s="5" t="e">
        <v>#NULL!</v>
      </c>
      <c r="AY21" s="5" t="e">
        <v>#NULL!</v>
      </c>
      <c r="AZ21" s="5" t="e">
        <v>#NULL!</v>
      </c>
      <c r="BA21" s="4" t="s">
        <v>176</v>
      </c>
      <c r="BB21" s="6">
        <v>68.876999999999995</v>
      </c>
      <c r="BC21" s="6">
        <v>38.262999999999998</v>
      </c>
      <c r="BD21" s="7">
        <v>18.715</v>
      </c>
    </row>
    <row r="22" spans="1:56" x14ac:dyDescent="0.25">
      <c r="A22" s="77" t="s">
        <v>177</v>
      </c>
      <c r="B22" s="91">
        <v>2</v>
      </c>
      <c r="C22" s="84">
        <v>2</v>
      </c>
      <c r="D22" s="24">
        <v>1</v>
      </c>
      <c r="E22" s="24">
        <v>28</v>
      </c>
      <c r="F22" s="24">
        <v>0</v>
      </c>
      <c r="G22" s="24">
        <v>53</v>
      </c>
      <c r="H22" s="25">
        <v>1.56</v>
      </c>
      <c r="I22" s="24">
        <v>1</v>
      </c>
      <c r="J22" s="24">
        <v>0</v>
      </c>
      <c r="K22" s="24">
        <v>1</v>
      </c>
      <c r="L22" s="24">
        <v>8</v>
      </c>
      <c r="M22" s="24">
        <v>0</v>
      </c>
      <c r="N22" s="24">
        <v>1</v>
      </c>
      <c r="O22" s="26" t="s">
        <v>56</v>
      </c>
      <c r="P22" s="24">
        <v>4</v>
      </c>
      <c r="Q22" s="24">
        <v>0</v>
      </c>
      <c r="R22" s="26" t="s">
        <v>57</v>
      </c>
      <c r="S22" s="26" t="s">
        <v>57</v>
      </c>
      <c r="T22" s="27">
        <v>21.7784352399737</v>
      </c>
      <c r="U22" s="24">
        <v>1</v>
      </c>
      <c r="V22" s="120">
        <v>0</v>
      </c>
      <c r="W22" s="124" t="s">
        <v>178</v>
      </c>
      <c r="X22" s="26">
        <v>6.75</v>
      </c>
      <c r="Y22" s="26" t="s">
        <v>179</v>
      </c>
      <c r="Z22" s="26" t="s">
        <v>180</v>
      </c>
      <c r="AA22" s="28">
        <v>42352</v>
      </c>
      <c r="AB22" s="24">
        <v>45</v>
      </c>
      <c r="AC22" s="26" t="s">
        <v>181</v>
      </c>
      <c r="AD22" s="24">
        <v>58</v>
      </c>
      <c r="AE22" s="26" t="s">
        <v>182</v>
      </c>
      <c r="AF22" s="24">
        <v>2015</v>
      </c>
      <c r="AG22" s="24">
        <v>28</v>
      </c>
      <c r="AH22" s="25">
        <v>0</v>
      </c>
      <c r="AI22" s="24">
        <v>1</v>
      </c>
      <c r="AJ22" s="26" t="s">
        <v>183</v>
      </c>
      <c r="AK22" s="24">
        <v>0</v>
      </c>
      <c r="AL22" s="24">
        <v>0</v>
      </c>
      <c r="AM22" s="24">
        <v>0</v>
      </c>
      <c r="AN22" s="26"/>
      <c r="AO22" s="24">
        <v>6</v>
      </c>
      <c r="AP22" s="25">
        <v>1.9459101490553132</v>
      </c>
      <c r="AQ22" s="24">
        <v>15</v>
      </c>
      <c r="AR22" s="25">
        <v>2.7080502011022101</v>
      </c>
      <c r="AS22" s="24">
        <v>32</v>
      </c>
      <c r="AT22" s="24">
        <v>20</v>
      </c>
      <c r="AU22" s="24">
        <v>31</v>
      </c>
      <c r="AV22" s="24">
        <v>6</v>
      </c>
      <c r="AW22" s="24">
        <v>3</v>
      </c>
      <c r="AX22" s="25">
        <v>1.0986122886681098</v>
      </c>
      <c r="AY22" s="24">
        <v>2</v>
      </c>
      <c r="AZ22" s="25">
        <v>0.69314718055994529</v>
      </c>
      <c r="BA22" s="26" t="s">
        <v>177</v>
      </c>
      <c r="BB22" s="29">
        <v>67.5</v>
      </c>
      <c r="BC22" s="29">
        <v>56.923000000000002</v>
      </c>
      <c r="BD22" s="30">
        <v>38.685000000000002</v>
      </c>
    </row>
    <row r="23" spans="1:56" x14ac:dyDescent="0.25">
      <c r="A23" s="79" t="s">
        <v>288</v>
      </c>
      <c r="B23" s="93">
        <v>3</v>
      </c>
      <c r="C23" s="86">
        <v>2</v>
      </c>
      <c r="D23" s="32">
        <v>2</v>
      </c>
      <c r="E23" s="32">
        <v>21</v>
      </c>
      <c r="F23" s="32">
        <v>0</v>
      </c>
      <c r="G23" s="32">
        <v>119</v>
      </c>
      <c r="H23" s="33">
        <v>1.8</v>
      </c>
      <c r="I23" s="32">
        <v>0</v>
      </c>
      <c r="J23" s="32">
        <v>1</v>
      </c>
      <c r="K23" s="32">
        <v>0</v>
      </c>
      <c r="L23" s="32">
        <v>0</v>
      </c>
      <c r="M23" s="32">
        <v>0</v>
      </c>
      <c r="N23" s="32">
        <v>2</v>
      </c>
      <c r="O23" s="34" t="s">
        <v>56</v>
      </c>
      <c r="P23" s="32">
        <v>2</v>
      </c>
      <c r="Q23" s="32">
        <v>1</v>
      </c>
      <c r="R23" s="34" t="s">
        <v>57</v>
      </c>
      <c r="S23" s="34" t="s">
        <v>57</v>
      </c>
      <c r="T23" s="35">
        <v>36.728395061728392</v>
      </c>
      <c r="U23" s="32">
        <v>0</v>
      </c>
      <c r="V23" s="122">
        <v>1</v>
      </c>
      <c r="W23" s="125" t="s">
        <v>289</v>
      </c>
      <c r="X23" s="34">
        <v>840.38</v>
      </c>
      <c r="Y23" s="34" t="s">
        <v>290</v>
      </c>
      <c r="Z23" s="34" t="s">
        <v>291</v>
      </c>
      <c r="AA23" s="36">
        <v>42377</v>
      </c>
      <c r="AB23" s="32">
        <v>29</v>
      </c>
      <c r="AC23" s="34" t="s">
        <v>259</v>
      </c>
      <c r="AD23" s="32">
        <v>4</v>
      </c>
      <c r="AE23" s="34" t="s">
        <v>292</v>
      </c>
      <c r="AF23" s="32">
        <v>2001</v>
      </c>
      <c r="AG23" s="32">
        <v>21</v>
      </c>
      <c r="AH23" s="33">
        <v>0</v>
      </c>
      <c r="AI23" s="32">
        <v>1</v>
      </c>
      <c r="AJ23" s="34" t="s">
        <v>293</v>
      </c>
      <c r="AK23" s="32">
        <v>1</v>
      </c>
      <c r="AL23" s="32">
        <v>-3.5</v>
      </c>
      <c r="AM23" s="32">
        <v>-3.75</v>
      </c>
      <c r="AN23" s="34"/>
      <c r="AO23" s="32">
        <v>31</v>
      </c>
      <c r="AP23" s="33">
        <v>3.4657359027997265</v>
      </c>
      <c r="AQ23" s="32">
        <v>29</v>
      </c>
      <c r="AR23" s="33">
        <v>3.3672958299864741</v>
      </c>
      <c r="AS23" s="32">
        <v>16</v>
      </c>
      <c r="AT23" s="32">
        <v>13</v>
      </c>
      <c r="AU23" s="32">
        <v>11</v>
      </c>
      <c r="AV23" s="32">
        <v>14</v>
      </c>
      <c r="AW23" s="32">
        <v>4</v>
      </c>
      <c r="AX23" s="33">
        <v>1.3862943611198906</v>
      </c>
      <c r="AY23" s="32">
        <v>6</v>
      </c>
      <c r="AZ23" s="33">
        <v>1.791759469228055</v>
      </c>
      <c r="BA23" s="34" t="s">
        <v>288</v>
      </c>
      <c r="BB23" s="37">
        <v>56.008000000000003</v>
      </c>
      <c r="BC23" s="37">
        <v>86.593000000000004</v>
      </c>
      <c r="BD23" s="38">
        <v>82.186999999999998</v>
      </c>
    </row>
    <row r="24" spans="1:56" x14ac:dyDescent="0.25">
      <c r="A24" s="79" t="s">
        <v>294</v>
      </c>
      <c r="B24" s="93">
        <v>3</v>
      </c>
      <c r="C24" s="86">
        <v>2</v>
      </c>
      <c r="D24" s="32">
        <v>2</v>
      </c>
      <c r="E24" s="32">
        <v>46</v>
      </c>
      <c r="F24" s="32">
        <v>0</v>
      </c>
      <c r="G24" s="32">
        <v>55</v>
      </c>
      <c r="H24" s="33">
        <v>1.68</v>
      </c>
      <c r="I24" s="32">
        <v>1</v>
      </c>
      <c r="J24" s="32">
        <v>0</v>
      </c>
      <c r="K24" s="32">
        <v>0</v>
      </c>
      <c r="L24" s="32">
        <v>0</v>
      </c>
      <c r="M24" s="32">
        <v>7</v>
      </c>
      <c r="N24" s="32">
        <v>5</v>
      </c>
      <c r="O24" s="34" t="s">
        <v>56</v>
      </c>
      <c r="P24" s="32">
        <v>4</v>
      </c>
      <c r="Q24" s="32">
        <v>1</v>
      </c>
      <c r="R24" s="34" t="s">
        <v>57</v>
      </c>
      <c r="S24" s="34" t="s">
        <v>57</v>
      </c>
      <c r="T24" s="35">
        <v>19.486961451247168</v>
      </c>
      <c r="U24" s="32">
        <v>0</v>
      </c>
      <c r="V24" s="122">
        <v>1</v>
      </c>
      <c r="W24" s="125" t="s">
        <v>295</v>
      </c>
      <c r="X24" s="34">
        <v>38.18</v>
      </c>
      <c r="Y24" s="34"/>
      <c r="Z24" s="34" t="s">
        <v>296</v>
      </c>
      <c r="AA24" s="36">
        <v>42382</v>
      </c>
      <c r="AB24" s="32">
        <v>14</v>
      </c>
      <c r="AC24" s="34" t="s">
        <v>297</v>
      </c>
      <c r="AD24" s="32">
        <v>48</v>
      </c>
      <c r="AE24" s="34" t="s">
        <v>298</v>
      </c>
      <c r="AF24" s="32">
        <v>2015</v>
      </c>
      <c r="AG24" s="32">
        <v>45</v>
      </c>
      <c r="AH24" s="33">
        <v>1</v>
      </c>
      <c r="AI24" s="32">
        <v>2</v>
      </c>
      <c r="AJ24" s="34" t="s">
        <v>299</v>
      </c>
      <c r="AK24" s="32">
        <v>1</v>
      </c>
      <c r="AL24" s="32">
        <v>-1.75</v>
      </c>
      <c r="AM24" s="32">
        <v>-1.75</v>
      </c>
      <c r="AN24" s="34" t="s">
        <v>214</v>
      </c>
      <c r="AO24" s="32">
        <v>2</v>
      </c>
      <c r="AP24" s="33">
        <v>1.0986122886681098</v>
      </c>
      <c r="AQ24" s="32">
        <v>12</v>
      </c>
      <c r="AR24" s="33">
        <v>2.4849066497880004</v>
      </c>
      <c r="AS24" s="32">
        <v>32</v>
      </c>
      <c r="AT24" s="32">
        <v>23</v>
      </c>
      <c r="AU24" s="32">
        <v>29</v>
      </c>
      <c r="AV24" s="32">
        <v>7</v>
      </c>
      <c r="AW24" s="32">
        <v>6</v>
      </c>
      <c r="AX24" s="33">
        <v>1.791759469228055</v>
      </c>
      <c r="AY24" s="32">
        <v>3</v>
      </c>
      <c r="AZ24" s="33">
        <v>1.0986122886681098</v>
      </c>
      <c r="BA24" s="34" t="s">
        <v>294</v>
      </c>
      <c r="BB24" s="37">
        <v>68.36</v>
      </c>
      <c r="BC24" s="37">
        <v>46.143000000000001</v>
      </c>
      <c r="BD24" s="38">
        <v>15.932</v>
      </c>
    </row>
    <row r="25" spans="1:56" x14ac:dyDescent="0.25">
      <c r="A25" s="79" t="s">
        <v>300</v>
      </c>
      <c r="B25" s="93">
        <v>3</v>
      </c>
      <c r="C25" s="86">
        <v>2</v>
      </c>
      <c r="D25" s="32">
        <v>2</v>
      </c>
      <c r="E25" s="32">
        <v>24</v>
      </c>
      <c r="F25" s="32">
        <v>1</v>
      </c>
      <c r="G25" s="32">
        <v>100</v>
      </c>
      <c r="H25" s="33">
        <v>1.99</v>
      </c>
      <c r="I25" s="32">
        <v>0</v>
      </c>
      <c r="J25" s="32">
        <v>1</v>
      </c>
      <c r="K25" s="32">
        <v>1</v>
      </c>
      <c r="L25" s="32">
        <v>7</v>
      </c>
      <c r="M25" s="32">
        <v>0</v>
      </c>
      <c r="N25" s="32">
        <v>0</v>
      </c>
      <c r="O25" s="34" t="s">
        <v>57</v>
      </c>
      <c r="P25" s="32">
        <v>0</v>
      </c>
      <c r="Q25" s="32">
        <v>0</v>
      </c>
      <c r="R25" s="34" t="s">
        <v>57</v>
      </c>
      <c r="S25" s="34" t="s">
        <v>57</v>
      </c>
      <c r="T25" s="35">
        <v>25.251887578596499</v>
      </c>
      <c r="U25" s="32">
        <v>0</v>
      </c>
      <c r="V25" s="122">
        <v>1</v>
      </c>
      <c r="W25" s="125" t="s">
        <v>301</v>
      </c>
      <c r="X25" s="34">
        <v>560.25</v>
      </c>
      <c r="Y25" s="34"/>
      <c r="Z25" s="34" t="s">
        <v>302</v>
      </c>
      <c r="AA25" s="36">
        <v>42391</v>
      </c>
      <c r="AB25" s="32">
        <v>14</v>
      </c>
      <c r="AC25" s="34" t="s">
        <v>205</v>
      </c>
      <c r="AD25" s="32">
        <v>8</v>
      </c>
      <c r="AE25" s="34" t="s">
        <v>303</v>
      </c>
      <c r="AF25" s="32">
        <v>2011</v>
      </c>
      <c r="AG25" s="32">
        <v>19</v>
      </c>
      <c r="AH25" s="33">
        <v>5</v>
      </c>
      <c r="AI25" s="32">
        <v>0</v>
      </c>
      <c r="AJ25" s="34"/>
      <c r="AK25" s="32">
        <v>1</v>
      </c>
      <c r="AL25" s="32">
        <v>-2</v>
      </c>
      <c r="AM25" s="32">
        <v>-2</v>
      </c>
      <c r="AN25" s="34"/>
      <c r="AO25" s="32">
        <v>12</v>
      </c>
      <c r="AP25" s="33">
        <v>2.5649493574615367</v>
      </c>
      <c r="AQ25" s="32">
        <v>18</v>
      </c>
      <c r="AR25" s="33">
        <v>2.8903717578961645</v>
      </c>
      <c r="AS25" s="32">
        <v>38</v>
      </c>
      <c r="AT25" s="32">
        <v>18</v>
      </c>
      <c r="AU25" s="32">
        <v>40</v>
      </c>
      <c r="AV25" s="32">
        <v>4</v>
      </c>
      <c r="AW25" s="32">
        <v>3</v>
      </c>
      <c r="AX25" s="33">
        <v>1.0986122886681098</v>
      </c>
      <c r="AY25" s="32">
        <v>2</v>
      </c>
      <c r="AZ25" s="33">
        <v>0.69314718055994529</v>
      </c>
      <c r="BA25" s="34" t="s">
        <v>300</v>
      </c>
      <c r="BB25" s="37">
        <v>61.802</v>
      </c>
      <c r="BC25" s="37">
        <v>34.848999999999997</v>
      </c>
      <c r="BD25" s="38">
        <v>30.61</v>
      </c>
    </row>
    <row r="26" spans="1:56" x14ac:dyDescent="0.25">
      <c r="A26" s="77" t="s">
        <v>184</v>
      </c>
      <c r="B26" s="91">
        <v>2</v>
      </c>
      <c r="C26" s="84">
        <v>2</v>
      </c>
      <c r="D26" s="24">
        <v>1</v>
      </c>
      <c r="E26" s="24">
        <v>37</v>
      </c>
      <c r="F26" s="24">
        <v>0</v>
      </c>
      <c r="G26" s="24">
        <v>62</v>
      </c>
      <c r="H26" s="25">
        <v>1.62</v>
      </c>
      <c r="I26" s="24">
        <v>1</v>
      </c>
      <c r="J26" s="24">
        <v>0</v>
      </c>
      <c r="K26" s="24">
        <v>1</v>
      </c>
      <c r="L26" s="24">
        <v>7</v>
      </c>
      <c r="M26" s="24">
        <v>19</v>
      </c>
      <c r="N26" s="24">
        <v>15</v>
      </c>
      <c r="O26" s="26" t="s">
        <v>56</v>
      </c>
      <c r="P26" s="24">
        <v>1</v>
      </c>
      <c r="Q26" s="24">
        <v>1</v>
      </c>
      <c r="R26" s="26" t="s">
        <v>57</v>
      </c>
      <c r="S26" s="26" t="s">
        <v>57</v>
      </c>
      <c r="T26" s="27">
        <v>23.624447492760247</v>
      </c>
      <c r="U26" s="24">
        <v>1</v>
      </c>
      <c r="V26" s="120">
        <v>0</v>
      </c>
      <c r="W26" s="124" t="s">
        <v>185</v>
      </c>
      <c r="X26" s="26">
        <v>4.5</v>
      </c>
      <c r="Y26" s="26" t="s">
        <v>186</v>
      </c>
      <c r="Z26" s="26" t="s">
        <v>187</v>
      </c>
      <c r="AA26" s="28">
        <v>42396</v>
      </c>
      <c r="AB26" s="24">
        <v>12</v>
      </c>
      <c r="AC26" s="26" t="s">
        <v>188</v>
      </c>
      <c r="AD26" s="24">
        <v>24</v>
      </c>
      <c r="AE26" s="26" t="s">
        <v>189</v>
      </c>
      <c r="AF26" s="24">
        <v>2016</v>
      </c>
      <c r="AG26" s="24">
        <v>37</v>
      </c>
      <c r="AH26" s="25">
        <v>0</v>
      </c>
      <c r="AI26" s="24">
        <v>0</v>
      </c>
      <c r="AJ26" s="26"/>
      <c r="AK26" s="24">
        <v>1</v>
      </c>
      <c r="AL26" s="24">
        <v>-1.25</v>
      </c>
      <c r="AM26" s="24">
        <v>-1.5</v>
      </c>
      <c r="AN26" s="26"/>
      <c r="AO26" s="24">
        <v>24</v>
      </c>
      <c r="AP26" s="25">
        <v>3.2188758248682006</v>
      </c>
      <c r="AQ26" s="24">
        <v>14</v>
      </c>
      <c r="AR26" s="25">
        <v>2.6390573296152584</v>
      </c>
      <c r="AS26" s="24">
        <v>29</v>
      </c>
      <c r="AT26" s="24">
        <v>39</v>
      </c>
      <c r="AU26" s="24">
        <v>31</v>
      </c>
      <c r="AV26" s="24">
        <v>14</v>
      </c>
      <c r="AW26" s="24">
        <v>2</v>
      </c>
      <c r="AX26" s="25">
        <v>0.69314718055994529</v>
      </c>
      <c r="AY26" s="24">
        <v>4</v>
      </c>
      <c r="AZ26" s="25">
        <v>1.3862943611198906</v>
      </c>
      <c r="BA26" s="26" t="s">
        <v>184</v>
      </c>
      <c r="BB26" s="29">
        <v>63.491</v>
      </c>
      <c r="BC26" s="29">
        <v>43.606999999999999</v>
      </c>
      <c r="BD26" s="30">
        <v>52.816000000000003</v>
      </c>
    </row>
    <row r="27" spans="1:56" x14ac:dyDescent="0.25">
      <c r="A27" s="79" t="s">
        <v>304</v>
      </c>
      <c r="B27" s="93">
        <v>3</v>
      </c>
      <c r="C27" s="86">
        <v>2</v>
      </c>
      <c r="D27" s="32">
        <v>2</v>
      </c>
      <c r="E27" s="32">
        <v>48</v>
      </c>
      <c r="F27" s="32">
        <v>0</v>
      </c>
      <c r="G27" s="32">
        <v>83</v>
      </c>
      <c r="H27" s="33">
        <v>1.68</v>
      </c>
      <c r="I27" s="32">
        <v>1</v>
      </c>
      <c r="J27" s="32">
        <v>0</v>
      </c>
      <c r="K27" s="32">
        <v>0</v>
      </c>
      <c r="L27" s="32">
        <v>0</v>
      </c>
      <c r="M27" s="32">
        <v>2</v>
      </c>
      <c r="N27" s="32">
        <v>2</v>
      </c>
      <c r="O27" s="34" t="s">
        <v>56</v>
      </c>
      <c r="P27" s="32">
        <v>3</v>
      </c>
      <c r="Q27" s="32">
        <v>0</v>
      </c>
      <c r="R27" s="34" t="s">
        <v>57</v>
      </c>
      <c r="S27" s="34" t="s">
        <v>57</v>
      </c>
      <c r="T27" s="35">
        <v>29.407596371882089</v>
      </c>
      <c r="U27" s="32">
        <v>1</v>
      </c>
      <c r="V27" s="122">
        <v>1</v>
      </c>
      <c r="W27" s="125" t="s">
        <v>305</v>
      </c>
      <c r="X27" s="34">
        <v>132.66999999999999</v>
      </c>
      <c r="Y27" s="34" t="s">
        <v>306</v>
      </c>
      <c r="Z27" s="34" t="s">
        <v>307</v>
      </c>
      <c r="AA27" s="36">
        <v>42398</v>
      </c>
      <c r="AB27" s="32">
        <v>4</v>
      </c>
      <c r="AC27" s="34" t="s">
        <v>235</v>
      </c>
      <c r="AD27" s="32">
        <v>20</v>
      </c>
      <c r="AE27" s="34" t="s">
        <v>308</v>
      </c>
      <c r="AF27" s="32">
        <v>2006</v>
      </c>
      <c r="AG27" s="32">
        <v>38</v>
      </c>
      <c r="AH27" s="33">
        <v>10</v>
      </c>
      <c r="AI27" s="32">
        <v>1</v>
      </c>
      <c r="AJ27" s="34" t="s">
        <v>309</v>
      </c>
      <c r="AK27" s="32">
        <v>0</v>
      </c>
      <c r="AL27" s="32">
        <v>0</v>
      </c>
      <c r="AM27" s="32">
        <v>0</v>
      </c>
      <c r="AN27" s="34"/>
      <c r="AO27" s="32">
        <v>24</v>
      </c>
      <c r="AP27" s="33">
        <v>3.2188758248682006</v>
      </c>
      <c r="AQ27" s="32">
        <v>17</v>
      </c>
      <c r="AR27" s="33">
        <v>2.8332133440562162</v>
      </c>
      <c r="AS27" s="32">
        <v>24</v>
      </c>
      <c r="AT27" s="32">
        <v>24</v>
      </c>
      <c r="AU27" s="32">
        <v>24</v>
      </c>
      <c r="AV27" s="32">
        <v>15</v>
      </c>
      <c r="AW27" s="32">
        <v>4</v>
      </c>
      <c r="AX27" s="33">
        <v>1.3862943611198906</v>
      </c>
      <c r="AY27" s="32">
        <v>3</v>
      </c>
      <c r="AZ27" s="33">
        <v>1.0986122886681098</v>
      </c>
      <c r="BA27" s="34" t="s">
        <v>304</v>
      </c>
      <c r="BB27" s="37">
        <v>66.429000000000002</v>
      </c>
      <c r="BC27" s="37">
        <v>30.317</v>
      </c>
      <c r="BD27" s="38">
        <v>26.177</v>
      </c>
    </row>
    <row r="28" spans="1:56" x14ac:dyDescent="0.25">
      <c r="A28" s="79" t="s">
        <v>310</v>
      </c>
      <c r="B28" s="93">
        <v>3</v>
      </c>
      <c r="C28" s="86">
        <v>2</v>
      </c>
      <c r="D28" s="32">
        <v>2</v>
      </c>
      <c r="E28" s="32">
        <v>27</v>
      </c>
      <c r="F28" s="32">
        <v>0</v>
      </c>
      <c r="G28" s="32">
        <v>57</v>
      </c>
      <c r="H28" s="33">
        <v>1.67</v>
      </c>
      <c r="I28" s="32">
        <v>0</v>
      </c>
      <c r="J28" s="32">
        <v>1</v>
      </c>
      <c r="K28" s="32">
        <v>1</v>
      </c>
      <c r="L28" s="32">
        <v>7</v>
      </c>
      <c r="M28" s="32">
        <v>13</v>
      </c>
      <c r="N28" s="32">
        <v>13</v>
      </c>
      <c r="O28" s="34" t="s">
        <v>57</v>
      </c>
      <c r="P28" s="32">
        <v>0</v>
      </c>
      <c r="Q28" s="32">
        <v>1</v>
      </c>
      <c r="R28" s="34" t="s">
        <v>57</v>
      </c>
      <c r="S28" s="34" t="s">
        <v>57</v>
      </c>
      <c r="T28" s="35">
        <v>20.43816558499767</v>
      </c>
      <c r="U28" s="32">
        <v>1</v>
      </c>
      <c r="V28" s="122">
        <v>1</v>
      </c>
      <c r="W28" s="125" t="s">
        <v>311</v>
      </c>
      <c r="X28" s="34">
        <v>23.59</v>
      </c>
      <c r="Y28" s="34"/>
      <c r="Z28" s="34" t="s">
        <v>312</v>
      </c>
      <c r="AA28" s="36">
        <v>42401</v>
      </c>
      <c r="AB28" s="32">
        <v>12</v>
      </c>
      <c r="AC28" s="34" t="s">
        <v>205</v>
      </c>
      <c r="AD28" s="32">
        <v>8</v>
      </c>
      <c r="AE28" s="34" t="s">
        <v>313</v>
      </c>
      <c r="AF28" s="32">
        <v>2014</v>
      </c>
      <c r="AG28" s="32">
        <v>25</v>
      </c>
      <c r="AH28" s="33">
        <v>2</v>
      </c>
      <c r="AI28" s="32">
        <v>1</v>
      </c>
      <c r="AJ28" s="34" t="s">
        <v>74</v>
      </c>
      <c r="AK28" s="32">
        <v>1</v>
      </c>
      <c r="AL28" s="32">
        <v>-7</v>
      </c>
      <c r="AM28" s="32">
        <v>-7.5</v>
      </c>
      <c r="AN28" s="34" t="s">
        <v>214</v>
      </c>
      <c r="AO28" s="32">
        <v>18</v>
      </c>
      <c r="AP28" s="33">
        <v>2.9444389791664403</v>
      </c>
      <c r="AQ28" s="32">
        <v>17</v>
      </c>
      <c r="AR28" s="33">
        <v>2.8332133440562162</v>
      </c>
      <c r="AS28" s="32">
        <v>19</v>
      </c>
      <c r="AT28" s="32">
        <v>18</v>
      </c>
      <c r="AU28" s="32">
        <v>25</v>
      </c>
      <c r="AV28" s="32">
        <v>9</v>
      </c>
      <c r="AW28" s="32">
        <v>4</v>
      </c>
      <c r="AX28" s="33">
        <v>1.3862943611198906</v>
      </c>
      <c r="AY28" s="32">
        <v>3</v>
      </c>
      <c r="AZ28" s="33">
        <v>1.0986122886681098</v>
      </c>
      <c r="BA28" s="34" t="s">
        <v>310</v>
      </c>
      <c r="BB28" s="37">
        <v>83.173000000000002</v>
      </c>
      <c r="BC28" s="37">
        <v>22.896999999999998</v>
      </c>
      <c r="BD28" s="38">
        <v>14.545</v>
      </c>
    </row>
    <row r="29" spans="1:56" x14ac:dyDescent="0.25">
      <c r="A29" s="79" t="s">
        <v>314</v>
      </c>
      <c r="B29" s="93">
        <v>3</v>
      </c>
      <c r="C29" s="86">
        <v>2</v>
      </c>
      <c r="D29" s="32">
        <v>2</v>
      </c>
      <c r="E29" s="32">
        <v>35</v>
      </c>
      <c r="F29" s="32">
        <v>1</v>
      </c>
      <c r="G29" s="32">
        <v>105</v>
      </c>
      <c r="H29" s="33">
        <v>1.8</v>
      </c>
      <c r="I29" s="32">
        <v>1</v>
      </c>
      <c r="J29" s="32">
        <v>0</v>
      </c>
      <c r="K29" s="32">
        <v>0</v>
      </c>
      <c r="L29" s="32">
        <v>0</v>
      </c>
      <c r="M29" s="32">
        <v>3</v>
      </c>
      <c r="N29" s="32">
        <v>3</v>
      </c>
      <c r="O29" s="34" t="s">
        <v>56</v>
      </c>
      <c r="P29" s="32">
        <v>4</v>
      </c>
      <c r="Q29" s="32">
        <v>1</v>
      </c>
      <c r="R29" s="34" t="s">
        <v>57</v>
      </c>
      <c r="S29" s="34" t="s">
        <v>57</v>
      </c>
      <c r="T29" s="35">
        <v>32.407407407407405</v>
      </c>
      <c r="U29" s="32">
        <v>0</v>
      </c>
      <c r="V29" s="122">
        <v>1</v>
      </c>
      <c r="W29" s="125" t="s">
        <v>315</v>
      </c>
      <c r="X29" s="34">
        <v>1.5</v>
      </c>
      <c r="Y29" s="34" t="s">
        <v>316</v>
      </c>
      <c r="Z29" s="34" t="s">
        <v>317</v>
      </c>
      <c r="AA29" s="36">
        <v>42423</v>
      </c>
      <c r="AB29" s="32">
        <v>5</v>
      </c>
      <c r="AC29" s="34" t="s">
        <v>318</v>
      </c>
      <c r="AD29" s="32">
        <v>1</v>
      </c>
      <c r="AE29" s="34" t="s">
        <v>319</v>
      </c>
      <c r="AF29" s="32">
        <v>2016</v>
      </c>
      <c r="AG29" s="32">
        <v>35</v>
      </c>
      <c r="AH29" s="33">
        <v>0</v>
      </c>
      <c r="AI29" s="32">
        <v>1</v>
      </c>
      <c r="AJ29" s="34" t="s">
        <v>320</v>
      </c>
      <c r="AK29" s="32">
        <v>1</v>
      </c>
      <c r="AL29" s="32">
        <v>-3.5</v>
      </c>
      <c r="AM29" s="32">
        <v>-3.5</v>
      </c>
      <c r="AN29" s="34"/>
      <c r="AO29" s="32">
        <v>19</v>
      </c>
      <c r="AP29" s="33">
        <v>2.9957322735539909</v>
      </c>
      <c r="AQ29" s="32">
        <v>21</v>
      </c>
      <c r="AR29" s="33">
        <v>3.044522437723423</v>
      </c>
      <c r="AS29" s="32">
        <v>25</v>
      </c>
      <c r="AT29" s="32">
        <v>35</v>
      </c>
      <c r="AU29" s="32">
        <v>24</v>
      </c>
      <c r="AV29" s="32">
        <v>4</v>
      </c>
      <c r="AW29" s="32">
        <v>3</v>
      </c>
      <c r="AX29" s="33">
        <v>1.0986122886681098</v>
      </c>
      <c r="AY29" s="32">
        <v>2</v>
      </c>
      <c r="AZ29" s="33">
        <v>0.69314718055994529</v>
      </c>
      <c r="BA29" s="34" t="s">
        <v>314</v>
      </c>
      <c r="BB29" s="37">
        <v>80.427999999999997</v>
      </c>
      <c r="BC29" s="37">
        <v>30.082999999999998</v>
      </c>
      <c r="BD29" s="38">
        <v>11.494</v>
      </c>
    </row>
    <row r="30" spans="1:56" x14ac:dyDescent="0.25">
      <c r="A30" s="79" t="s">
        <v>321</v>
      </c>
      <c r="B30" s="93">
        <v>3</v>
      </c>
      <c r="C30" s="86">
        <v>2</v>
      </c>
      <c r="D30" s="32">
        <v>2</v>
      </c>
      <c r="E30" s="32">
        <v>48</v>
      </c>
      <c r="F30" s="32">
        <v>0</v>
      </c>
      <c r="G30" s="32">
        <v>66</v>
      </c>
      <c r="H30" s="33">
        <v>1.65</v>
      </c>
      <c r="I30" s="32">
        <v>1</v>
      </c>
      <c r="J30" s="32">
        <v>0</v>
      </c>
      <c r="K30" s="32">
        <v>0</v>
      </c>
      <c r="L30" s="32">
        <v>0</v>
      </c>
      <c r="M30" s="32">
        <v>3</v>
      </c>
      <c r="N30" s="32">
        <v>3</v>
      </c>
      <c r="O30" s="34" t="s">
        <v>56</v>
      </c>
      <c r="P30" s="32">
        <v>2</v>
      </c>
      <c r="Q30" s="32">
        <v>1</v>
      </c>
      <c r="R30" s="34" t="s">
        <v>57</v>
      </c>
      <c r="S30" s="34" t="s">
        <v>57</v>
      </c>
      <c r="T30" s="35">
        <v>24.242424242424246</v>
      </c>
      <c r="U30" s="32">
        <v>0</v>
      </c>
      <c r="V30" s="122">
        <v>1</v>
      </c>
      <c r="W30" s="125" t="s">
        <v>322</v>
      </c>
      <c r="X30" s="34">
        <v>849.92</v>
      </c>
      <c r="Y30" s="34"/>
      <c r="Z30" s="34" t="s">
        <v>323</v>
      </c>
      <c r="AA30" s="36">
        <v>42508</v>
      </c>
      <c r="AB30" s="32">
        <v>28</v>
      </c>
      <c r="AC30" s="34" t="s">
        <v>324</v>
      </c>
      <c r="AD30" s="32">
        <v>4</v>
      </c>
      <c r="AE30" s="34" t="s">
        <v>325</v>
      </c>
      <c r="AF30" s="32">
        <v>2009</v>
      </c>
      <c r="AG30" s="32">
        <v>41</v>
      </c>
      <c r="AH30" s="33">
        <v>7</v>
      </c>
      <c r="AI30" s="32">
        <v>0</v>
      </c>
      <c r="AJ30" s="34"/>
      <c r="AK30" s="32">
        <v>2</v>
      </c>
      <c r="AL30" s="32">
        <v>1</v>
      </c>
      <c r="AM30" s="32">
        <v>1</v>
      </c>
      <c r="AN30" s="34" t="s">
        <v>326</v>
      </c>
      <c r="AO30" s="32">
        <v>13</v>
      </c>
      <c r="AP30" s="33">
        <v>2.6390573296152584</v>
      </c>
      <c r="AQ30" s="32">
        <v>18</v>
      </c>
      <c r="AR30" s="33">
        <v>2.8903717578961645</v>
      </c>
      <c r="AS30" s="32">
        <v>31</v>
      </c>
      <c r="AT30" s="32">
        <v>35</v>
      </c>
      <c r="AU30" s="32">
        <v>31</v>
      </c>
      <c r="AV30" s="32">
        <v>5</v>
      </c>
      <c r="AW30" s="32">
        <v>2</v>
      </c>
      <c r="AX30" s="33">
        <v>0.69314718055994529</v>
      </c>
      <c r="AY30" s="32">
        <v>2</v>
      </c>
      <c r="AZ30" s="33">
        <v>0.69314718055994529</v>
      </c>
      <c r="BA30" s="34" t="s">
        <v>321</v>
      </c>
      <c r="BB30" s="37">
        <v>75.001999999999995</v>
      </c>
      <c r="BC30" s="37">
        <v>28.523</v>
      </c>
      <c r="BD30" s="38">
        <v>9.9349000000000007</v>
      </c>
    </row>
    <row r="31" spans="1:56" x14ac:dyDescent="0.25">
      <c r="A31" s="79" t="s">
        <v>327</v>
      </c>
      <c r="B31" s="93">
        <v>3</v>
      </c>
      <c r="C31" s="86">
        <v>2</v>
      </c>
      <c r="D31" s="32">
        <v>2</v>
      </c>
      <c r="E31" s="32">
        <v>24</v>
      </c>
      <c r="F31" s="32">
        <v>1</v>
      </c>
      <c r="G31" s="32">
        <v>73</v>
      </c>
      <c r="H31" s="33">
        <v>1.94</v>
      </c>
      <c r="I31" s="32">
        <v>0</v>
      </c>
      <c r="J31" s="32">
        <v>1</v>
      </c>
      <c r="K31" s="32">
        <v>1</v>
      </c>
      <c r="L31" s="32">
        <v>5</v>
      </c>
      <c r="M31" s="32">
        <v>28</v>
      </c>
      <c r="N31" s="32">
        <v>21</v>
      </c>
      <c r="O31" s="34" t="s">
        <v>57</v>
      </c>
      <c r="P31" s="32">
        <v>0</v>
      </c>
      <c r="Q31" s="32">
        <v>1</v>
      </c>
      <c r="R31" s="34" t="s">
        <v>56</v>
      </c>
      <c r="S31" s="34" t="s">
        <v>57</v>
      </c>
      <c r="T31" s="35">
        <v>19.41</v>
      </c>
      <c r="U31" s="32">
        <v>0</v>
      </c>
      <c r="V31" s="122">
        <v>1</v>
      </c>
      <c r="W31" s="125" t="s">
        <v>328</v>
      </c>
      <c r="X31" s="34">
        <v>840.38</v>
      </c>
      <c r="Y31" s="34" t="s">
        <v>197</v>
      </c>
      <c r="Z31" s="34" t="s">
        <v>329</v>
      </c>
      <c r="AA31" s="36">
        <v>42509</v>
      </c>
      <c r="AB31" s="32">
        <v>51</v>
      </c>
      <c r="AC31" s="34" t="s">
        <v>188</v>
      </c>
      <c r="AD31" s="32">
        <v>24</v>
      </c>
      <c r="AE31" s="34" t="s">
        <v>330</v>
      </c>
      <c r="AF31" s="32">
        <v>2016</v>
      </c>
      <c r="AG31" s="32">
        <v>24</v>
      </c>
      <c r="AH31" s="33">
        <v>0</v>
      </c>
      <c r="AI31" s="32">
        <v>1</v>
      </c>
      <c r="AJ31" s="34" t="s">
        <v>331</v>
      </c>
      <c r="AK31" s="32">
        <v>1</v>
      </c>
      <c r="AL31" s="32">
        <v>-0.7</v>
      </c>
      <c r="AM31" s="32">
        <v>-0.7</v>
      </c>
      <c r="AN31" s="34"/>
      <c r="AO31" s="32">
        <v>4</v>
      </c>
      <c r="AP31" s="33">
        <v>1.6094379124341003</v>
      </c>
      <c r="AQ31" s="32">
        <v>16</v>
      </c>
      <c r="AR31" s="33">
        <v>2.7725887222397811</v>
      </c>
      <c r="AS31" s="32">
        <v>30</v>
      </c>
      <c r="AT31" s="32">
        <v>33</v>
      </c>
      <c r="AU31" s="32">
        <v>38</v>
      </c>
      <c r="AV31" s="32">
        <v>3</v>
      </c>
      <c r="AW31" s="32">
        <v>2</v>
      </c>
      <c r="AX31" s="33">
        <v>0.69314718055994529</v>
      </c>
      <c r="AY31" s="32">
        <v>3</v>
      </c>
      <c r="AZ31" s="33">
        <v>1.0986122886681098</v>
      </c>
      <c r="BA31" s="34" t="s">
        <v>327</v>
      </c>
      <c r="BB31" s="37">
        <v>86.655000000000001</v>
      </c>
      <c r="BC31" s="37">
        <v>28.036000000000001</v>
      </c>
      <c r="BD31" s="38">
        <v>12.906000000000001</v>
      </c>
    </row>
    <row r="32" spans="1:56" x14ac:dyDescent="0.25">
      <c r="A32" s="79" t="s">
        <v>332</v>
      </c>
      <c r="B32" s="93">
        <v>3</v>
      </c>
      <c r="C32" s="86">
        <v>2</v>
      </c>
      <c r="D32" s="32">
        <v>2</v>
      </c>
      <c r="E32" s="32">
        <v>33</v>
      </c>
      <c r="F32" s="32">
        <v>1</v>
      </c>
      <c r="G32" s="32">
        <v>67.8</v>
      </c>
      <c r="H32" s="33">
        <v>1.74</v>
      </c>
      <c r="I32" s="32">
        <v>1</v>
      </c>
      <c r="J32" s="32">
        <v>0</v>
      </c>
      <c r="K32" s="32">
        <v>0</v>
      </c>
      <c r="L32" s="32">
        <v>0</v>
      </c>
      <c r="M32" s="32">
        <v>2</v>
      </c>
      <c r="N32" s="32">
        <v>3</v>
      </c>
      <c r="O32" s="34" t="s">
        <v>56</v>
      </c>
      <c r="P32" s="32">
        <v>4</v>
      </c>
      <c r="Q32" s="32">
        <v>1</v>
      </c>
      <c r="R32" s="34" t="s">
        <v>56</v>
      </c>
      <c r="S32" s="34" t="s">
        <v>57</v>
      </c>
      <c r="T32" s="35">
        <v>22.6</v>
      </c>
      <c r="U32" s="32">
        <v>0</v>
      </c>
      <c r="V32" s="122">
        <v>1</v>
      </c>
      <c r="W32" s="125" t="s">
        <v>301</v>
      </c>
      <c r="X32" s="34">
        <v>560.25</v>
      </c>
      <c r="Y32" s="34" t="s">
        <v>333</v>
      </c>
      <c r="Z32" s="34" t="s">
        <v>334</v>
      </c>
      <c r="AA32" s="36">
        <v>42510</v>
      </c>
      <c r="AB32" s="32">
        <v>39</v>
      </c>
      <c r="AC32" s="34" t="s">
        <v>235</v>
      </c>
      <c r="AD32" s="32">
        <v>20</v>
      </c>
      <c r="AE32" s="34" t="s">
        <v>335</v>
      </c>
      <c r="AF32" s="32">
        <v>2016</v>
      </c>
      <c r="AG32" s="32">
        <v>33</v>
      </c>
      <c r="AH32" s="33">
        <v>0</v>
      </c>
      <c r="AI32" s="32">
        <v>1</v>
      </c>
      <c r="AJ32" s="34" t="s">
        <v>336</v>
      </c>
      <c r="AK32" s="32">
        <v>1</v>
      </c>
      <c r="AL32" s="32">
        <v>-1.75</v>
      </c>
      <c r="AM32" s="32">
        <v>-1.75</v>
      </c>
      <c r="AN32" s="34"/>
      <c r="AO32" s="32">
        <v>30</v>
      </c>
      <c r="AP32" s="33">
        <v>3.4339872044851463</v>
      </c>
      <c r="AQ32" s="32">
        <v>22</v>
      </c>
      <c r="AR32" s="33">
        <v>3.0910424533583161</v>
      </c>
      <c r="AS32" s="32">
        <v>25</v>
      </c>
      <c r="AT32" s="32">
        <v>38</v>
      </c>
      <c r="AU32" s="32">
        <v>31</v>
      </c>
      <c r="AV32" s="32">
        <v>6</v>
      </c>
      <c r="AW32" s="32">
        <v>3</v>
      </c>
      <c r="AX32" s="33">
        <v>1.0986122886681098</v>
      </c>
      <c r="AY32" s="32">
        <v>4</v>
      </c>
      <c r="AZ32" s="33">
        <v>1.3862943611198906</v>
      </c>
      <c r="BA32" s="34" t="s">
        <v>332</v>
      </c>
      <c r="BB32" s="37">
        <v>72.959999999999994</v>
      </c>
      <c r="BC32" s="37">
        <v>78.468999999999994</v>
      </c>
      <c r="BD32" s="38">
        <v>51.878999999999998</v>
      </c>
    </row>
    <row r="33" spans="1:56" x14ac:dyDescent="0.25">
      <c r="A33" s="77" t="s">
        <v>190</v>
      </c>
      <c r="B33" s="91">
        <v>2</v>
      </c>
      <c r="C33" s="84">
        <v>2</v>
      </c>
      <c r="D33" s="24">
        <v>1</v>
      </c>
      <c r="E33" s="24">
        <v>27</v>
      </c>
      <c r="F33" s="24">
        <v>0</v>
      </c>
      <c r="G33" s="24">
        <v>58</v>
      </c>
      <c r="H33" s="25">
        <v>1.74</v>
      </c>
      <c r="I33" s="24">
        <v>0</v>
      </c>
      <c r="J33" s="24">
        <v>1</v>
      </c>
      <c r="K33" s="24">
        <v>0</v>
      </c>
      <c r="L33" s="24">
        <v>0</v>
      </c>
      <c r="M33" s="24">
        <v>11</v>
      </c>
      <c r="N33" s="24">
        <v>8</v>
      </c>
      <c r="O33" s="26" t="s">
        <v>57</v>
      </c>
      <c r="P33" s="24">
        <v>0</v>
      </c>
      <c r="Q33" s="24">
        <v>0</v>
      </c>
      <c r="R33" s="26" t="s">
        <v>56</v>
      </c>
      <c r="S33" s="26" t="s">
        <v>57</v>
      </c>
      <c r="T33" s="27">
        <v>19.329999999999998</v>
      </c>
      <c r="U33" s="24">
        <v>1</v>
      </c>
      <c r="V33" s="120">
        <v>0</v>
      </c>
      <c r="W33" s="124" t="s">
        <v>191</v>
      </c>
      <c r="X33" s="26">
        <v>0.75</v>
      </c>
      <c r="Y33" s="26" t="s">
        <v>192</v>
      </c>
      <c r="Z33" s="26" t="s">
        <v>193</v>
      </c>
      <c r="AA33" s="28">
        <v>42513</v>
      </c>
      <c r="AB33" s="24">
        <v>3</v>
      </c>
      <c r="AC33" s="26" t="s">
        <v>194</v>
      </c>
      <c r="AD33" s="24">
        <v>28</v>
      </c>
      <c r="AE33" s="26" t="s">
        <v>195</v>
      </c>
      <c r="AF33" s="24">
        <v>2016</v>
      </c>
      <c r="AG33" s="24">
        <v>27</v>
      </c>
      <c r="AH33" s="25">
        <v>0</v>
      </c>
      <c r="AI33" s="24">
        <v>0</v>
      </c>
      <c r="AJ33" s="26"/>
      <c r="AK33" s="24">
        <v>0</v>
      </c>
      <c r="AL33" s="24">
        <v>0</v>
      </c>
      <c r="AM33" s="24">
        <v>0</v>
      </c>
      <c r="AN33" s="26"/>
      <c r="AO33" s="24">
        <v>18</v>
      </c>
      <c r="AP33" s="25">
        <v>2.9444389791664403</v>
      </c>
      <c r="AQ33" s="24">
        <v>23</v>
      </c>
      <c r="AR33" s="25">
        <v>3.1354942159291497</v>
      </c>
      <c r="AS33" s="24">
        <v>17</v>
      </c>
      <c r="AT33" s="24">
        <v>16</v>
      </c>
      <c r="AU33" s="24">
        <v>18</v>
      </c>
      <c r="AV33" s="24">
        <v>6</v>
      </c>
      <c r="AW33" s="24">
        <v>4</v>
      </c>
      <c r="AX33" s="25">
        <v>1.3862943611198906</v>
      </c>
      <c r="AY33" s="24">
        <v>3</v>
      </c>
      <c r="AZ33" s="25">
        <v>1.0986122886681098</v>
      </c>
      <c r="BA33" s="26" t="s">
        <v>190</v>
      </c>
      <c r="BB33" s="29">
        <v>59.204999999999998</v>
      </c>
      <c r="BC33" s="29">
        <v>86.942999999999998</v>
      </c>
      <c r="BD33" s="30">
        <v>66.840999999999994</v>
      </c>
    </row>
    <row r="34" spans="1:56" x14ac:dyDescent="0.25">
      <c r="A34" s="79" t="s">
        <v>337</v>
      </c>
      <c r="B34" s="93">
        <v>3</v>
      </c>
      <c r="C34" s="86">
        <v>2</v>
      </c>
      <c r="D34" s="32">
        <v>2</v>
      </c>
      <c r="E34" s="32">
        <v>38</v>
      </c>
      <c r="F34" s="32">
        <v>0</v>
      </c>
      <c r="G34" s="32">
        <v>83</v>
      </c>
      <c r="H34" s="33">
        <v>1.55</v>
      </c>
      <c r="I34" s="32">
        <v>1</v>
      </c>
      <c r="J34" s="32">
        <v>0</v>
      </c>
      <c r="K34" s="32">
        <v>0</v>
      </c>
      <c r="L34" s="32">
        <v>0</v>
      </c>
      <c r="M34" s="32">
        <v>4</v>
      </c>
      <c r="N34" s="32">
        <v>4</v>
      </c>
      <c r="O34" s="34" t="s">
        <v>56</v>
      </c>
      <c r="P34" s="32">
        <v>2</v>
      </c>
      <c r="Q34" s="32">
        <v>0</v>
      </c>
      <c r="R34" s="34" t="s">
        <v>57</v>
      </c>
      <c r="S34" s="34" t="s">
        <v>57</v>
      </c>
      <c r="T34" s="35">
        <v>34.58</v>
      </c>
      <c r="U34" s="32">
        <v>0</v>
      </c>
      <c r="V34" s="122">
        <v>1</v>
      </c>
      <c r="W34" s="125" t="s">
        <v>338</v>
      </c>
      <c r="X34" s="34">
        <v>560.25</v>
      </c>
      <c r="Y34" s="34" t="s">
        <v>339</v>
      </c>
      <c r="Z34" s="34" t="s">
        <v>340</v>
      </c>
      <c r="AA34" s="36">
        <v>42565</v>
      </c>
      <c r="AB34" s="32">
        <v>14</v>
      </c>
      <c r="AC34" s="34" t="s">
        <v>219</v>
      </c>
      <c r="AD34" s="32">
        <v>16</v>
      </c>
      <c r="AE34" s="34" t="s">
        <v>341</v>
      </c>
      <c r="AF34" s="32">
        <v>2015</v>
      </c>
      <c r="AG34" s="32">
        <v>37</v>
      </c>
      <c r="AH34" s="33">
        <v>1</v>
      </c>
      <c r="AI34" s="32">
        <v>0</v>
      </c>
      <c r="AJ34" s="34"/>
      <c r="AK34" s="32">
        <v>0</v>
      </c>
      <c r="AL34" s="32">
        <v>0</v>
      </c>
      <c r="AM34" s="32">
        <v>0</v>
      </c>
      <c r="AN34" s="34"/>
      <c r="AO34" s="32">
        <v>28</v>
      </c>
      <c r="AP34" s="33">
        <v>3.3672958299864741</v>
      </c>
      <c r="AQ34" s="32">
        <v>28</v>
      </c>
      <c r="AR34" s="33">
        <v>3.3322045101752038</v>
      </c>
      <c r="AS34" s="32">
        <v>19</v>
      </c>
      <c r="AT34" s="32">
        <v>12</v>
      </c>
      <c r="AU34" s="32">
        <v>27</v>
      </c>
      <c r="AV34" s="32">
        <v>12</v>
      </c>
      <c r="AW34" s="32">
        <v>6</v>
      </c>
      <c r="AX34" s="33">
        <v>1.791759469228055</v>
      </c>
      <c r="AY34" s="32">
        <v>3</v>
      </c>
      <c r="AZ34" s="33">
        <v>1.0986122886681098</v>
      </c>
      <c r="BA34" s="34" t="s">
        <v>337</v>
      </c>
      <c r="BB34" s="37">
        <v>72.599000000000004</v>
      </c>
      <c r="BC34" s="37">
        <v>31.879000000000001</v>
      </c>
      <c r="BD34" s="38">
        <v>21.398</v>
      </c>
    </row>
    <row r="35" spans="1:56" x14ac:dyDescent="0.25">
      <c r="A35" s="79" t="s">
        <v>342</v>
      </c>
      <c r="B35" s="93">
        <v>3</v>
      </c>
      <c r="C35" s="86">
        <v>2</v>
      </c>
      <c r="D35" s="32">
        <v>2</v>
      </c>
      <c r="E35" s="32">
        <v>21</v>
      </c>
      <c r="F35" s="32">
        <v>0</v>
      </c>
      <c r="G35" s="32">
        <v>69</v>
      </c>
      <c r="H35" s="33">
        <v>1.66</v>
      </c>
      <c r="I35" s="32">
        <v>1</v>
      </c>
      <c r="J35" s="32">
        <v>0</v>
      </c>
      <c r="K35" s="32">
        <v>1</v>
      </c>
      <c r="L35" s="32">
        <v>15</v>
      </c>
      <c r="M35" s="32">
        <v>22</v>
      </c>
      <c r="N35" s="32">
        <v>18</v>
      </c>
      <c r="O35" s="34" t="s">
        <v>56</v>
      </c>
      <c r="P35" s="32">
        <v>3</v>
      </c>
      <c r="Q35" s="32">
        <v>1</v>
      </c>
      <c r="R35" s="34" t="s">
        <v>56</v>
      </c>
      <c r="S35" s="34" t="s">
        <v>57</v>
      </c>
      <c r="T35" s="35">
        <v>25</v>
      </c>
      <c r="U35" s="32">
        <v>0</v>
      </c>
      <c r="V35" s="122">
        <v>1</v>
      </c>
      <c r="W35" s="125" t="s">
        <v>343</v>
      </c>
      <c r="X35" s="34">
        <v>878.55</v>
      </c>
      <c r="Y35" s="34" t="s">
        <v>197</v>
      </c>
      <c r="Z35" s="34" t="s">
        <v>344</v>
      </c>
      <c r="AA35" s="36">
        <v>42565</v>
      </c>
      <c r="AB35" s="32">
        <v>356</v>
      </c>
      <c r="AC35" s="34" t="s">
        <v>235</v>
      </c>
      <c r="AD35" s="32">
        <v>20</v>
      </c>
      <c r="AE35" s="34" t="s">
        <v>345</v>
      </c>
      <c r="AF35" s="32">
        <v>2010</v>
      </c>
      <c r="AG35" s="32">
        <v>15</v>
      </c>
      <c r="AH35" s="33">
        <v>6</v>
      </c>
      <c r="AI35" s="32">
        <v>0</v>
      </c>
      <c r="AJ35" s="34"/>
      <c r="AK35" s="32">
        <v>1</v>
      </c>
      <c r="AL35" s="32">
        <v>-1</v>
      </c>
      <c r="AM35" s="32">
        <v>-1</v>
      </c>
      <c r="AN35" s="34"/>
      <c r="AO35" s="32">
        <v>33</v>
      </c>
      <c r="AP35" s="33">
        <v>3.5263605246161616</v>
      </c>
      <c r="AQ35" s="32">
        <v>29</v>
      </c>
      <c r="AR35" s="33">
        <v>3.3672958299864741</v>
      </c>
      <c r="AS35" s="32">
        <v>21</v>
      </c>
      <c r="AT35" s="32">
        <v>19</v>
      </c>
      <c r="AU35" s="32">
        <v>29</v>
      </c>
      <c r="AV35" s="32">
        <v>14</v>
      </c>
      <c r="AW35" s="32">
        <v>4</v>
      </c>
      <c r="AX35" s="33">
        <v>1.3862943611198906</v>
      </c>
      <c r="AY35" s="32">
        <v>4</v>
      </c>
      <c r="AZ35" s="33">
        <v>1.3862943611198906</v>
      </c>
      <c r="BA35" s="34" t="s">
        <v>342</v>
      </c>
      <c r="BB35" s="37">
        <v>69.135000000000005</v>
      </c>
      <c r="BC35" s="37">
        <v>94.796999999999997</v>
      </c>
      <c r="BD35" s="38">
        <v>88.715999999999994</v>
      </c>
    </row>
    <row r="36" spans="1:56" x14ac:dyDescent="0.25">
      <c r="A36" s="79" t="s">
        <v>346</v>
      </c>
      <c r="B36" s="93">
        <v>3</v>
      </c>
      <c r="C36" s="86">
        <v>2</v>
      </c>
      <c r="D36" s="32">
        <v>2</v>
      </c>
      <c r="E36" s="32">
        <v>34</v>
      </c>
      <c r="F36" s="32">
        <v>1</v>
      </c>
      <c r="G36" s="32">
        <v>68</v>
      </c>
      <c r="H36" s="33">
        <v>1.69</v>
      </c>
      <c r="I36" s="32">
        <v>1</v>
      </c>
      <c r="J36" s="32">
        <v>0</v>
      </c>
      <c r="K36" s="32">
        <v>0</v>
      </c>
      <c r="L36" s="32">
        <v>0</v>
      </c>
      <c r="M36" s="32">
        <v>10</v>
      </c>
      <c r="N36" s="32">
        <v>9</v>
      </c>
      <c r="O36" s="34" t="s">
        <v>56</v>
      </c>
      <c r="P36" s="32">
        <v>4</v>
      </c>
      <c r="Q36" s="32">
        <v>0</v>
      </c>
      <c r="R36" s="34" t="s">
        <v>57</v>
      </c>
      <c r="S36" s="34" t="s">
        <v>57</v>
      </c>
      <c r="T36" s="35">
        <v>23.78</v>
      </c>
      <c r="U36" s="32">
        <v>1</v>
      </c>
      <c r="V36" s="122">
        <v>1</v>
      </c>
      <c r="W36" s="125" t="s">
        <v>347</v>
      </c>
      <c r="X36" s="34">
        <v>25.84</v>
      </c>
      <c r="Y36" s="34"/>
      <c r="Z36" s="34" t="s">
        <v>348</v>
      </c>
      <c r="AA36" s="36">
        <v>42565</v>
      </c>
      <c r="AB36" s="32">
        <v>10</v>
      </c>
      <c r="AC36" s="34" t="s">
        <v>205</v>
      </c>
      <c r="AD36" s="32">
        <v>8</v>
      </c>
      <c r="AE36" s="34" t="s">
        <v>349</v>
      </c>
      <c r="AF36" s="32">
        <v>2016</v>
      </c>
      <c r="AG36" s="32">
        <v>34</v>
      </c>
      <c r="AH36" s="33">
        <v>0</v>
      </c>
      <c r="AI36" s="32">
        <v>1</v>
      </c>
      <c r="AJ36" s="34" t="s">
        <v>350</v>
      </c>
      <c r="AK36" s="32">
        <v>0</v>
      </c>
      <c r="AL36" s="32">
        <v>0</v>
      </c>
      <c r="AM36" s="32">
        <v>0</v>
      </c>
      <c r="AN36" s="34"/>
      <c r="AO36" s="32">
        <v>7</v>
      </c>
      <c r="AP36" s="33">
        <v>2.0794415416798357</v>
      </c>
      <c r="AQ36" s="32">
        <v>16</v>
      </c>
      <c r="AR36" s="33">
        <v>2.7725887222397811</v>
      </c>
      <c r="AS36" s="32">
        <v>32</v>
      </c>
      <c r="AT36" s="32">
        <v>30</v>
      </c>
      <c r="AU36" s="32">
        <v>35</v>
      </c>
      <c r="AV36" s="32">
        <v>0</v>
      </c>
      <c r="AW36" s="32">
        <v>4</v>
      </c>
      <c r="AX36" s="33">
        <v>1.3862943611198906</v>
      </c>
      <c r="AY36" s="32">
        <v>4</v>
      </c>
      <c r="AZ36" s="33">
        <v>1.3862943611198906</v>
      </c>
      <c r="BA36" s="34" t="s">
        <v>346</v>
      </c>
      <c r="BB36" s="37">
        <v>79.427000000000007</v>
      </c>
      <c r="BC36" s="37">
        <v>100.52</v>
      </c>
      <c r="BD36" s="38">
        <v>60.932000000000002</v>
      </c>
    </row>
    <row r="37" spans="1:56" x14ac:dyDescent="0.25">
      <c r="A37" s="77" t="s">
        <v>196</v>
      </c>
      <c r="B37" s="91">
        <v>2</v>
      </c>
      <c r="C37" s="84">
        <v>2</v>
      </c>
      <c r="D37" s="24">
        <v>1</v>
      </c>
      <c r="E37" s="24">
        <v>26</v>
      </c>
      <c r="F37" s="24">
        <v>0</v>
      </c>
      <c r="G37" s="24">
        <v>75</v>
      </c>
      <c r="H37" s="25">
        <v>1.75</v>
      </c>
      <c r="I37" s="24">
        <v>0</v>
      </c>
      <c r="J37" s="24">
        <v>1</v>
      </c>
      <c r="K37" s="24">
        <v>1</v>
      </c>
      <c r="L37" s="24">
        <v>20</v>
      </c>
      <c r="M37" s="24">
        <v>17</v>
      </c>
      <c r="N37" s="24">
        <v>17</v>
      </c>
      <c r="O37" s="26" t="s">
        <v>56</v>
      </c>
      <c r="P37" s="24">
        <v>2</v>
      </c>
      <c r="Q37" s="24">
        <v>1</v>
      </c>
      <c r="R37" s="26" t="s">
        <v>57</v>
      </c>
      <c r="S37" s="26" t="s">
        <v>57</v>
      </c>
      <c r="T37" s="27">
        <v>24.5</v>
      </c>
      <c r="U37" s="24">
        <v>1</v>
      </c>
      <c r="V37" s="120">
        <v>0</v>
      </c>
      <c r="W37" s="124" t="s">
        <v>185</v>
      </c>
      <c r="X37" s="26">
        <v>4.5</v>
      </c>
      <c r="Y37" s="26" t="s">
        <v>197</v>
      </c>
      <c r="Z37" s="26" t="s">
        <v>198</v>
      </c>
      <c r="AA37" s="28">
        <v>42566</v>
      </c>
      <c r="AB37" s="24">
        <v>46</v>
      </c>
      <c r="AC37" s="26" t="s">
        <v>199</v>
      </c>
      <c r="AD37" s="24">
        <v>2</v>
      </c>
      <c r="AE37" s="26" t="s">
        <v>195</v>
      </c>
      <c r="AF37" s="24">
        <v>2016</v>
      </c>
      <c r="AG37" s="24">
        <v>26</v>
      </c>
      <c r="AH37" s="25">
        <v>0</v>
      </c>
      <c r="AI37" s="24">
        <v>1</v>
      </c>
      <c r="AJ37" s="26" t="s">
        <v>200</v>
      </c>
      <c r="AK37" s="24">
        <v>0</v>
      </c>
      <c r="AL37" s="24">
        <v>0</v>
      </c>
      <c r="AM37" s="24">
        <v>0</v>
      </c>
      <c r="AN37" s="26"/>
      <c r="AO37" s="24">
        <v>4</v>
      </c>
      <c r="AP37" s="25">
        <v>1.6094379124341003</v>
      </c>
      <c r="AQ37" s="24">
        <v>16</v>
      </c>
      <c r="AR37" s="25">
        <v>2.7725887222397811</v>
      </c>
      <c r="AS37" s="24">
        <v>37</v>
      </c>
      <c r="AT37" s="24">
        <v>35</v>
      </c>
      <c r="AU37" s="24">
        <v>36</v>
      </c>
      <c r="AV37" s="24">
        <v>4</v>
      </c>
      <c r="AW37" s="24">
        <v>1</v>
      </c>
      <c r="AX37" s="25">
        <v>0</v>
      </c>
      <c r="AY37" s="24">
        <v>3</v>
      </c>
      <c r="AZ37" s="25">
        <v>1.0986122886681098</v>
      </c>
      <c r="BA37" s="26" t="s">
        <v>196</v>
      </c>
      <c r="BB37" s="29">
        <v>58.493000000000002</v>
      </c>
      <c r="BC37" s="29">
        <v>73.534999999999997</v>
      </c>
      <c r="BD37" s="30">
        <v>84.225999999999999</v>
      </c>
    </row>
    <row r="38" spans="1:56" x14ac:dyDescent="0.25">
      <c r="A38" s="79" t="s">
        <v>351</v>
      </c>
      <c r="B38" s="93">
        <v>3</v>
      </c>
      <c r="C38" s="86">
        <v>2</v>
      </c>
      <c r="D38" s="32">
        <v>2</v>
      </c>
      <c r="E38" s="32">
        <v>21</v>
      </c>
      <c r="F38" s="32">
        <v>0</v>
      </c>
      <c r="G38" s="32">
        <v>60</v>
      </c>
      <c r="H38" s="33">
        <v>1.6</v>
      </c>
      <c r="I38" s="32">
        <v>0</v>
      </c>
      <c r="J38" s="32">
        <v>1</v>
      </c>
      <c r="K38" s="32">
        <v>0</v>
      </c>
      <c r="L38" s="32">
        <v>0</v>
      </c>
      <c r="M38" s="32">
        <v>4</v>
      </c>
      <c r="N38" s="32">
        <v>6</v>
      </c>
      <c r="O38" s="34" t="s">
        <v>57</v>
      </c>
      <c r="P38" s="32">
        <v>0</v>
      </c>
      <c r="Q38" s="32">
        <v>0</v>
      </c>
      <c r="R38" s="34" t="s">
        <v>56</v>
      </c>
      <c r="S38" s="34" t="s">
        <v>57</v>
      </c>
      <c r="T38" s="35">
        <v>23.44</v>
      </c>
      <c r="U38" s="32">
        <v>0</v>
      </c>
      <c r="V38" s="122">
        <v>1</v>
      </c>
      <c r="W38" s="125" t="s">
        <v>289</v>
      </c>
      <c r="X38" s="34">
        <v>840.38</v>
      </c>
      <c r="Y38" s="34" t="s">
        <v>352</v>
      </c>
      <c r="Z38" s="34" t="s">
        <v>353</v>
      </c>
      <c r="AA38" s="36">
        <v>42566</v>
      </c>
      <c r="AB38" s="32">
        <v>180</v>
      </c>
      <c r="AC38" s="34" t="s">
        <v>188</v>
      </c>
      <c r="AD38" s="32">
        <v>24</v>
      </c>
      <c r="AE38" s="34" t="s">
        <v>354</v>
      </c>
      <c r="AF38" s="32">
        <v>2014</v>
      </c>
      <c r="AG38" s="32">
        <v>19</v>
      </c>
      <c r="AH38" s="33">
        <v>2</v>
      </c>
      <c r="AI38" s="32">
        <v>0</v>
      </c>
      <c r="AJ38" s="34"/>
      <c r="AK38" s="32">
        <v>1</v>
      </c>
      <c r="AL38" s="32">
        <v>-1.5</v>
      </c>
      <c r="AM38" s="32">
        <v>-1.25</v>
      </c>
      <c r="AN38" s="34"/>
      <c r="AO38" s="32">
        <v>27</v>
      </c>
      <c r="AP38" s="33">
        <v>3.3322045101752038</v>
      </c>
      <c r="AQ38" s="32">
        <v>29</v>
      </c>
      <c r="AR38" s="33">
        <v>3.3672958299864741</v>
      </c>
      <c r="AS38" s="32">
        <v>16</v>
      </c>
      <c r="AT38" s="32">
        <v>17</v>
      </c>
      <c r="AU38" s="32">
        <v>20</v>
      </c>
      <c r="AV38" s="32">
        <v>9</v>
      </c>
      <c r="AW38" s="32">
        <v>5</v>
      </c>
      <c r="AX38" s="33">
        <v>1.6094379124341003</v>
      </c>
      <c r="AY38" s="32">
        <v>3</v>
      </c>
      <c r="AZ38" s="33">
        <v>1.0986122886681098</v>
      </c>
      <c r="BA38" s="34" t="s">
        <v>351</v>
      </c>
      <c r="BB38" s="37">
        <v>81.617000000000004</v>
      </c>
      <c r="BC38" s="37">
        <v>38.826999999999998</v>
      </c>
      <c r="BD38" s="38">
        <v>32.715000000000003</v>
      </c>
    </row>
    <row r="39" spans="1:56" x14ac:dyDescent="0.25">
      <c r="A39" s="79" t="s">
        <v>355</v>
      </c>
      <c r="B39" s="93">
        <v>3</v>
      </c>
      <c r="C39" s="86">
        <v>2</v>
      </c>
      <c r="D39" s="32">
        <v>2</v>
      </c>
      <c r="E39" s="32">
        <v>32</v>
      </c>
      <c r="F39" s="32">
        <v>0</v>
      </c>
      <c r="G39" s="32">
        <v>62</v>
      </c>
      <c r="H39" s="33">
        <v>1.63</v>
      </c>
      <c r="I39" s="32">
        <v>0</v>
      </c>
      <c r="J39" s="32">
        <v>1</v>
      </c>
      <c r="K39" s="32">
        <v>0</v>
      </c>
      <c r="L39" s="32">
        <v>0</v>
      </c>
      <c r="M39" s="32">
        <v>14</v>
      </c>
      <c r="N39" s="32">
        <v>14</v>
      </c>
      <c r="O39" s="34" t="s">
        <v>57</v>
      </c>
      <c r="P39" s="32">
        <v>0</v>
      </c>
      <c r="Q39" s="32">
        <v>1</v>
      </c>
      <c r="R39" s="34" t="s">
        <v>57</v>
      </c>
      <c r="S39" s="34" t="s">
        <v>57</v>
      </c>
      <c r="T39" s="35">
        <v>23.3</v>
      </c>
      <c r="U39" s="32">
        <v>0</v>
      </c>
      <c r="V39" s="122">
        <v>1</v>
      </c>
      <c r="W39" s="125" t="s">
        <v>338</v>
      </c>
      <c r="X39" s="34">
        <v>560.25</v>
      </c>
      <c r="Y39" s="34"/>
      <c r="Z39" s="34" t="s">
        <v>356</v>
      </c>
      <c r="AA39" s="36">
        <v>42569</v>
      </c>
      <c r="AB39" s="32">
        <v>38</v>
      </c>
      <c r="AC39" s="34" t="s">
        <v>250</v>
      </c>
      <c r="AD39" s="32">
        <v>12</v>
      </c>
      <c r="AE39" s="34" t="s">
        <v>357</v>
      </c>
      <c r="AF39" s="32">
        <v>2010</v>
      </c>
      <c r="AG39" s="32">
        <v>26</v>
      </c>
      <c r="AH39" s="33">
        <v>6</v>
      </c>
      <c r="AI39" s="32">
        <v>0</v>
      </c>
      <c r="AJ39" s="34"/>
      <c r="AK39" s="32">
        <v>1</v>
      </c>
      <c r="AL39" s="32">
        <v>-1.5</v>
      </c>
      <c r="AM39" s="32">
        <v>-1.5</v>
      </c>
      <c r="AN39" s="34"/>
      <c r="AO39" s="32">
        <v>29</v>
      </c>
      <c r="AP39" s="33">
        <v>3.4011973816621555</v>
      </c>
      <c r="AQ39" s="32">
        <v>34</v>
      </c>
      <c r="AR39" s="33">
        <v>3.5263605246161616</v>
      </c>
      <c r="AS39" s="32">
        <v>17</v>
      </c>
      <c r="AT39" s="32">
        <v>20</v>
      </c>
      <c r="AU39" s="32">
        <v>25</v>
      </c>
      <c r="AV39" s="32">
        <v>5</v>
      </c>
      <c r="AW39" s="32">
        <v>3</v>
      </c>
      <c r="AX39" s="33">
        <v>1.0986122886681098</v>
      </c>
      <c r="AY39" s="32">
        <v>3</v>
      </c>
      <c r="AZ39" s="33">
        <v>1.0986122886681098</v>
      </c>
      <c r="BA39" s="34" t="s">
        <v>355</v>
      </c>
      <c r="BB39" s="37">
        <v>67.436999999999998</v>
      </c>
      <c r="BC39" s="37">
        <v>74.786000000000001</v>
      </c>
      <c r="BD39" s="38">
        <v>38.633000000000003</v>
      </c>
    </row>
    <row r="40" spans="1:56" x14ac:dyDescent="0.25">
      <c r="A40" s="79" t="s">
        <v>358</v>
      </c>
      <c r="B40" s="93">
        <v>3</v>
      </c>
      <c r="C40" s="86">
        <v>2</v>
      </c>
      <c r="D40" s="32">
        <v>2</v>
      </c>
      <c r="E40" s="32">
        <v>32</v>
      </c>
      <c r="F40" s="32">
        <v>1</v>
      </c>
      <c r="G40" s="32">
        <v>77</v>
      </c>
      <c r="H40" s="33">
        <v>1.95</v>
      </c>
      <c r="I40" s="32">
        <v>0</v>
      </c>
      <c r="J40" s="32">
        <v>1</v>
      </c>
      <c r="K40" s="32">
        <v>0</v>
      </c>
      <c r="L40" s="32">
        <v>0</v>
      </c>
      <c r="M40" s="32">
        <v>2</v>
      </c>
      <c r="N40" s="32">
        <v>3</v>
      </c>
      <c r="O40" s="34" t="s">
        <v>56</v>
      </c>
      <c r="P40" s="32">
        <v>2</v>
      </c>
      <c r="Q40" s="32">
        <v>1</v>
      </c>
      <c r="R40" s="34" t="s">
        <v>56</v>
      </c>
      <c r="S40" s="34" t="s">
        <v>57</v>
      </c>
      <c r="T40" s="35">
        <v>20.260000000000002</v>
      </c>
      <c r="U40" s="32">
        <v>0</v>
      </c>
      <c r="V40" s="122">
        <v>1</v>
      </c>
      <c r="W40" s="125" t="s">
        <v>295</v>
      </c>
      <c r="X40" s="34">
        <v>38.18</v>
      </c>
      <c r="Y40" s="34"/>
      <c r="Z40" s="34" t="s">
        <v>359</v>
      </c>
      <c r="AA40" s="36">
        <v>42591</v>
      </c>
      <c r="AB40" s="32">
        <v>14</v>
      </c>
      <c r="AC40" s="34" t="s">
        <v>235</v>
      </c>
      <c r="AD40" s="32">
        <v>20</v>
      </c>
      <c r="AE40" s="34" t="s">
        <v>360</v>
      </c>
      <c r="AF40" s="32">
        <v>2016</v>
      </c>
      <c r="AG40" s="32">
        <v>32</v>
      </c>
      <c r="AH40" s="33">
        <v>0</v>
      </c>
      <c r="AI40" s="32">
        <v>1</v>
      </c>
      <c r="AJ40" s="34" t="s">
        <v>361</v>
      </c>
      <c r="AK40" s="32">
        <v>1</v>
      </c>
      <c r="AL40" s="32">
        <v>-2.75</v>
      </c>
      <c r="AM40" s="32">
        <v>-2.75</v>
      </c>
      <c r="AN40" s="34"/>
      <c r="AO40" s="32">
        <v>18</v>
      </c>
      <c r="AP40" s="33">
        <v>2.9444389791664403</v>
      </c>
      <c r="AQ40" s="32">
        <v>18</v>
      </c>
      <c r="AR40" s="33">
        <v>2.8903717578961645</v>
      </c>
      <c r="AS40" s="32">
        <v>23</v>
      </c>
      <c r="AT40" s="32">
        <v>16</v>
      </c>
      <c r="AU40" s="32">
        <v>22</v>
      </c>
      <c r="AV40" s="32">
        <v>5</v>
      </c>
      <c r="AW40" s="32">
        <v>5</v>
      </c>
      <c r="AX40" s="33">
        <v>1.6094379124341003</v>
      </c>
      <c r="AY40" s="32">
        <v>4</v>
      </c>
      <c r="AZ40" s="33">
        <v>1.3862943611198906</v>
      </c>
      <c r="BA40" s="34" t="s">
        <v>358</v>
      </c>
      <c r="BB40" s="37">
        <v>84.78</v>
      </c>
      <c r="BC40" s="37">
        <v>49.176000000000002</v>
      </c>
      <c r="BD40" s="38">
        <v>25.460999999999999</v>
      </c>
    </row>
    <row r="41" spans="1:56" x14ac:dyDescent="0.25">
      <c r="A41" s="77" t="s">
        <v>201</v>
      </c>
      <c r="B41" s="91">
        <v>2</v>
      </c>
      <c r="C41" s="84">
        <v>2</v>
      </c>
      <c r="D41" s="24">
        <v>1</v>
      </c>
      <c r="E41" s="24">
        <v>36</v>
      </c>
      <c r="F41" s="24">
        <v>1</v>
      </c>
      <c r="G41" s="24">
        <v>61</v>
      </c>
      <c r="H41" s="25">
        <v>1.72</v>
      </c>
      <c r="I41" s="24">
        <v>0</v>
      </c>
      <c r="J41" s="24">
        <v>1</v>
      </c>
      <c r="K41" s="24">
        <v>0</v>
      </c>
      <c r="L41" s="24">
        <v>0</v>
      </c>
      <c r="M41" s="24">
        <v>12</v>
      </c>
      <c r="N41" s="24">
        <v>11</v>
      </c>
      <c r="O41" s="26" t="s">
        <v>56</v>
      </c>
      <c r="P41" s="24">
        <v>3</v>
      </c>
      <c r="Q41" s="24">
        <v>0</v>
      </c>
      <c r="R41" s="26" t="s">
        <v>57</v>
      </c>
      <c r="S41" s="26" t="s">
        <v>57</v>
      </c>
      <c r="T41" s="27">
        <v>20.61</v>
      </c>
      <c r="U41" s="24">
        <v>1</v>
      </c>
      <c r="V41" s="120">
        <v>0</v>
      </c>
      <c r="W41" s="124" t="s">
        <v>202</v>
      </c>
      <c r="X41" s="26">
        <v>369.38</v>
      </c>
      <c r="Y41" s="26" t="s">
        <v>203</v>
      </c>
      <c r="Z41" s="26" t="s">
        <v>204</v>
      </c>
      <c r="AA41" s="28">
        <v>42599</v>
      </c>
      <c r="AB41" s="24">
        <v>6</v>
      </c>
      <c r="AC41" s="26" t="s">
        <v>205</v>
      </c>
      <c r="AD41" s="24">
        <v>8</v>
      </c>
      <c r="AE41" s="26" t="s">
        <v>206</v>
      </c>
      <c r="AF41" s="24">
        <v>2016</v>
      </c>
      <c r="AG41" s="24">
        <v>36</v>
      </c>
      <c r="AH41" s="25">
        <v>0</v>
      </c>
      <c r="AI41" s="24">
        <v>1</v>
      </c>
      <c r="AJ41" s="26" t="s">
        <v>207</v>
      </c>
      <c r="AK41" s="24">
        <v>0</v>
      </c>
      <c r="AL41" s="24">
        <v>0</v>
      </c>
      <c r="AM41" s="24">
        <v>0</v>
      </c>
      <c r="AN41" s="26"/>
      <c r="AO41" s="24">
        <v>30</v>
      </c>
      <c r="AP41" s="25">
        <v>3.4339872044851463</v>
      </c>
      <c r="AQ41" s="24">
        <v>19</v>
      </c>
      <c r="AR41" s="25">
        <v>2.9444389791664403</v>
      </c>
      <c r="AS41" s="24">
        <v>24</v>
      </c>
      <c r="AT41" s="24">
        <v>16</v>
      </c>
      <c r="AU41" s="24">
        <v>29</v>
      </c>
      <c r="AV41" s="24">
        <v>11</v>
      </c>
      <c r="AW41" s="24">
        <v>3</v>
      </c>
      <c r="AX41" s="25">
        <v>1.0986122886681098</v>
      </c>
      <c r="AY41" s="24">
        <v>5</v>
      </c>
      <c r="AZ41" s="25">
        <v>1.6094379124341003</v>
      </c>
      <c r="BA41" s="26" t="s">
        <v>201</v>
      </c>
      <c r="BB41" s="29">
        <v>67.561000000000007</v>
      </c>
      <c r="BC41" s="29">
        <v>32.494999999999997</v>
      </c>
      <c r="BD41" s="30">
        <v>24.501999999999999</v>
      </c>
    </row>
    <row r="42" spans="1:56" x14ac:dyDescent="0.25">
      <c r="A42" s="77" t="s">
        <v>208</v>
      </c>
      <c r="B42" s="91">
        <v>2</v>
      </c>
      <c r="C42" s="84">
        <v>2</v>
      </c>
      <c r="D42" s="24">
        <v>1</v>
      </c>
      <c r="E42" s="24">
        <v>24</v>
      </c>
      <c r="F42" s="24">
        <v>0</v>
      </c>
      <c r="G42" s="24">
        <v>63</v>
      </c>
      <c r="H42" s="25">
        <v>1.59</v>
      </c>
      <c r="I42" s="24">
        <v>1</v>
      </c>
      <c r="J42" s="24">
        <v>0</v>
      </c>
      <c r="K42" s="24">
        <v>1</v>
      </c>
      <c r="L42" s="24">
        <v>10</v>
      </c>
      <c r="M42" s="24">
        <v>19</v>
      </c>
      <c r="N42" s="24">
        <v>20</v>
      </c>
      <c r="O42" s="26" t="s">
        <v>56</v>
      </c>
      <c r="P42" s="24">
        <v>2</v>
      </c>
      <c r="Q42" s="24">
        <v>1</v>
      </c>
      <c r="R42" s="26" t="s">
        <v>56</v>
      </c>
      <c r="S42" s="26" t="s">
        <v>57</v>
      </c>
      <c r="T42" s="27">
        <v>24.9</v>
      </c>
      <c r="U42" s="24">
        <v>1</v>
      </c>
      <c r="V42" s="120">
        <v>0</v>
      </c>
      <c r="W42" s="124" t="s">
        <v>185</v>
      </c>
      <c r="X42" s="26">
        <v>4.5</v>
      </c>
      <c r="Y42" s="26" t="s">
        <v>209</v>
      </c>
      <c r="Z42" s="26" t="s">
        <v>210</v>
      </c>
      <c r="AA42" s="28">
        <v>42605</v>
      </c>
      <c r="AB42" s="24">
        <v>14</v>
      </c>
      <c r="AC42" s="26" t="s">
        <v>211</v>
      </c>
      <c r="AD42" s="24">
        <v>1</v>
      </c>
      <c r="AE42" s="26" t="s">
        <v>212</v>
      </c>
      <c r="AF42" s="24">
        <v>2016</v>
      </c>
      <c r="AG42" s="24">
        <v>24</v>
      </c>
      <c r="AH42" s="25">
        <v>0</v>
      </c>
      <c r="AI42" s="24">
        <v>1</v>
      </c>
      <c r="AJ42" s="26" t="s">
        <v>213</v>
      </c>
      <c r="AK42" s="24">
        <v>1</v>
      </c>
      <c r="AL42" s="24">
        <v>-6.25</v>
      </c>
      <c r="AM42" s="24">
        <v>-7.25</v>
      </c>
      <c r="AN42" s="26" t="s">
        <v>214</v>
      </c>
      <c r="AO42" s="24">
        <v>29</v>
      </c>
      <c r="AP42" s="25">
        <v>3.4011973816621555</v>
      </c>
      <c r="AQ42" s="24">
        <v>27</v>
      </c>
      <c r="AR42" s="25">
        <v>3.2958368660043291</v>
      </c>
      <c r="AS42" s="24">
        <v>15</v>
      </c>
      <c r="AT42" s="24">
        <v>15</v>
      </c>
      <c r="AU42" s="24">
        <v>14</v>
      </c>
      <c r="AV42" s="24">
        <v>10</v>
      </c>
      <c r="AW42" s="24">
        <v>4</v>
      </c>
      <c r="AX42" s="25">
        <v>1.3862943611198906</v>
      </c>
      <c r="AY42" s="24">
        <v>4</v>
      </c>
      <c r="AZ42" s="25">
        <v>1.3862943611198906</v>
      </c>
      <c r="BA42" s="26" t="s">
        <v>208</v>
      </c>
      <c r="BB42" s="29">
        <v>53.616</v>
      </c>
      <c r="BC42" s="29">
        <v>63.875999999999998</v>
      </c>
      <c r="BD42" s="30">
        <v>55.393999999999998</v>
      </c>
    </row>
    <row r="43" spans="1:56" x14ac:dyDescent="0.25">
      <c r="A43" s="77" t="s">
        <v>215</v>
      </c>
      <c r="B43" s="91">
        <v>2</v>
      </c>
      <c r="C43" s="84">
        <v>2</v>
      </c>
      <c r="D43" s="24">
        <v>1</v>
      </c>
      <c r="E43" s="24">
        <v>29</v>
      </c>
      <c r="F43" s="24">
        <v>1</v>
      </c>
      <c r="G43" s="24">
        <v>78</v>
      </c>
      <c r="H43" s="25">
        <v>1.92</v>
      </c>
      <c r="I43" s="24">
        <v>0</v>
      </c>
      <c r="J43" s="24">
        <v>1</v>
      </c>
      <c r="K43" s="24">
        <v>1</v>
      </c>
      <c r="L43" s="24">
        <v>15</v>
      </c>
      <c r="M43" s="24">
        <v>31</v>
      </c>
      <c r="N43" s="24">
        <v>27</v>
      </c>
      <c r="O43" s="26" t="s">
        <v>56</v>
      </c>
      <c r="P43" s="24">
        <v>2</v>
      </c>
      <c r="Q43" s="24">
        <v>1</v>
      </c>
      <c r="R43" s="26" t="s">
        <v>56</v>
      </c>
      <c r="S43" s="26" t="s">
        <v>57</v>
      </c>
      <c r="T43" s="27">
        <v>21.14</v>
      </c>
      <c r="U43" s="24">
        <v>1</v>
      </c>
      <c r="V43" s="120">
        <v>0</v>
      </c>
      <c r="W43" s="124" t="s">
        <v>216</v>
      </c>
      <c r="X43" s="26">
        <v>9</v>
      </c>
      <c r="Y43" s="26" t="s">
        <v>217</v>
      </c>
      <c r="Z43" s="26" t="s">
        <v>218</v>
      </c>
      <c r="AA43" s="28">
        <v>42606</v>
      </c>
      <c r="AB43" s="24">
        <v>33</v>
      </c>
      <c r="AC43" s="26" t="s">
        <v>219</v>
      </c>
      <c r="AD43" s="24">
        <v>16</v>
      </c>
      <c r="AE43" s="26" t="s">
        <v>220</v>
      </c>
      <c r="AF43" s="24">
        <v>2013</v>
      </c>
      <c r="AG43" s="24">
        <v>26</v>
      </c>
      <c r="AH43" s="25">
        <v>3</v>
      </c>
      <c r="AI43" s="24">
        <v>1</v>
      </c>
      <c r="AJ43" s="26" t="s">
        <v>221</v>
      </c>
      <c r="AK43" s="24">
        <v>0</v>
      </c>
      <c r="AL43" s="24">
        <v>0</v>
      </c>
      <c r="AM43" s="24">
        <v>0</v>
      </c>
      <c r="AN43" s="26"/>
      <c r="AO43" s="24">
        <v>17</v>
      </c>
      <c r="AP43" s="25">
        <v>2.8903717578961645</v>
      </c>
      <c r="AQ43" s="24">
        <v>21</v>
      </c>
      <c r="AR43" s="25">
        <v>3.044522437723423</v>
      </c>
      <c r="AS43" s="24">
        <v>23</v>
      </c>
      <c r="AT43" s="24">
        <v>26</v>
      </c>
      <c r="AU43" s="24">
        <v>28</v>
      </c>
      <c r="AV43" s="24">
        <v>8</v>
      </c>
      <c r="AW43" s="24">
        <v>3</v>
      </c>
      <c r="AX43" s="25">
        <v>1.0986122886681098</v>
      </c>
      <c r="AY43" s="24">
        <v>4</v>
      </c>
      <c r="AZ43" s="25">
        <v>1.3862943611198906</v>
      </c>
      <c r="BA43" s="26" t="s">
        <v>215</v>
      </c>
      <c r="BB43" s="29">
        <v>68.498999999999995</v>
      </c>
      <c r="BC43" s="29">
        <v>54.908000000000001</v>
      </c>
      <c r="BD43" s="30">
        <v>28.603999999999999</v>
      </c>
    </row>
    <row r="44" spans="1:56" x14ac:dyDescent="0.25">
      <c r="A44" s="77" t="s">
        <v>222</v>
      </c>
      <c r="B44" s="91">
        <v>2</v>
      </c>
      <c r="C44" s="84">
        <v>2</v>
      </c>
      <c r="D44" s="24">
        <v>1</v>
      </c>
      <c r="E44" s="24">
        <v>53</v>
      </c>
      <c r="F44" s="24">
        <v>0</v>
      </c>
      <c r="G44" s="24">
        <v>57</v>
      </c>
      <c r="H44" s="25">
        <v>1.75</v>
      </c>
      <c r="I44" s="24">
        <v>1</v>
      </c>
      <c r="J44" s="24">
        <v>0</v>
      </c>
      <c r="K44" s="24">
        <v>1</v>
      </c>
      <c r="L44" s="24">
        <v>10</v>
      </c>
      <c r="M44" s="24">
        <v>23</v>
      </c>
      <c r="N44" s="24">
        <v>18</v>
      </c>
      <c r="O44" s="26" t="s">
        <v>56</v>
      </c>
      <c r="P44" s="24">
        <v>2</v>
      </c>
      <c r="Q44" s="24">
        <v>1</v>
      </c>
      <c r="R44" s="26" t="s">
        <v>57</v>
      </c>
      <c r="S44" s="26" t="s">
        <v>57</v>
      </c>
      <c r="T44" s="27">
        <v>18.63</v>
      </c>
      <c r="U44" s="24">
        <v>1</v>
      </c>
      <c r="V44" s="120">
        <v>0</v>
      </c>
      <c r="W44" s="124" t="s">
        <v>185</v>
      </c>
      <c r="X44" s="26">
        <v>4.5</v>
      </c>
      <c r="Y44" s="26"/>
      <c r="Z44" s="26" t="s">
        <v>223</v>
      </c>
      <c r="AA44" s="28">
        <v>42634</v>
      </c>
      <c r="AB44" s="24">
        <v>16</v>
      </c>
      <c r="AC44" s="26" t="s">
        <v>199</v>
      </c>
      <c r="AD44" s="24">
        <v>2</v>
      </c>
      <c r="AE44" s="26" t="s">
        <v>224</v>
      </c>
      <c r="AF44" s="24">
        <v>1999</v>
      </c>
      <c r="AG44" s="24">
        <v>36</v>
      </c>
      <c r="AH44" s="25">
        <v>17</v>
      </c>
      <c r="AI44" s="24">
        <v>1</v>
      </c>
      <c r="AJ44" s="26" t="s">
        <v>225</v>
      </c>
      <c r="AK44" s="24">
        <v>3</v>
      </c>
      <c r="AL44" s="24">
        <v>0</v>
      </c>
      <c r="AM44" s="24">
        <v>0</v>
      </c>
      <c r="AN44" s="26" t="s">
        <v>226</v>
      </c>
      <c r="AO44" s="24">
        <v>1</v>
      </c>
      <c r="AP44" s="25">
        <v>0.69314718055994529</v>
      </c>
      <c r="AQ44" s="24">
        <v>12</v>
      </c>
      <c r="AR44" s="25">
        <v>2.4849066497880004</v>
      </c>
      <c r="AS44" s="24">
        <v>37</v>
      </c>
      <c r="AT44" s="24">
        <v>35</v>
      </c>
      <c r="AU44" s="24">
        <v>38</v>
      </c>
      <c r="AV44" s="24">
        <v>13</v>
      </c>
      <c r="AW44" s="24">
        <v>3</v>
      </c>
      <c r="AX44" s="25">
        <v>1.0986122886681098</v>
      </c>
      <c r="AY44" s="24">
        <v>3</v>
      </c>
      <c r="AZ44" s="25">
        <v>1.0986122886681098</v>
      </c>
      <c r="BA44" s="26" t="s">
        <v>222</v>
      </c>
      <c r="BB44" s="29">
        <v>76.566999999999993</v>
      </c>
      <c r="BC44" s="29">
        <v>18.204000000000001</v>
      </c>
      <c r="BD44" s="30">
        <v>7.9663000000000004</v>
      </c>
    </row>
    <row r="45" spans="1:56" x14ac:dyDescent="0.25">
      <c r="A45" s="79" t="s">
        <v>362</v>
      </c>
      <c r="B45" s="93">
        <v>3</v>
      </c>
      <c r="C45" s="86">
        <v>2</v>
      </c>
      <c r="D45" s="32">
        <v>2</v>
      </c>
      <c r="E45" s="32">
        <v>40</v>
      </c>
      <c r="F45" s="32">
        <v>1</v>
      </c>
      <c r="G45" s="32">
        <v>95</v>
      </c>
      <c r="H45" s="33">
        <v>1.85</v>
      </c>
      <c r="I45" s="32">
        <v>1</v>
      </c>
      <c r="J45" s="32">
        <v>0</v>
      </c>
      <c r="K45" s="32">
        <v>0</v>
      </c>
      <c r="L45" s="32">
        <v>0</v>
      </c>
      <c r="M45" s="32">
        <v>11</v>
      </c>
      <c r="N45" s="32">
        <v>7</v>
      </c>
      <c r="O45" s="34" t="s">
        <v>56</v>
      </c>
      <c r="P45" s="32">
        <v>6</v>
      </c>
      <c r="Q45" s="32">
        <v>1</v>
      </c>
      <c r="R45" s="34" t="s">
        <v>57</v>
      </c>
      <c r="S45" s="34" t="s">
        <v>57</v>
      </c>
      <c r="T45" s="35">
        <v>27.78</v>
      </c>
      <c r="U45" s="32">
        <v>1</v>
      </c>
      <c r="V45" s="122">
        <v>1</v>
      </c>
      <c r="W45" s="125" t="s">
        <v>363</v>
      </c>
      <c r="X45" s="34">
        <v>407.55</v>
      </c>
      <c r="Y45" s="34" t="s">
        <v>364</v>
      </c>
      <c r="Z45" s="34" t="s">
        <v>365</v>
      </c>
      <c r="AA45" s="36">
        <v>42639</v>
      </c>
      <c r="AB45" s="32">
        <v>55</v>
      </c>
      <c r="AC45" s="34" t="s">
        <v>199</v>
      </c>
      <c r="AD45" s="32">
        <v>2</v>
      </c>
      <c r="AE45" s="34" t="s">
        <v>366</v>
      </c>
      <c r="AF45" s="32">
        <v>2016</v>
      </c>
      <c r="AG45" s="32">
        <v>40</v>
      </c>
      <c r="AH45" s="33">
        <v>0</v>
      </c>
      <c r="AI45" s="32">
        <v>0</v>
      </c>
      <c r="AJ45" s="34" t="s">
        <v>367</v>
      </c>
      <c r="AK45" s="32">
        <v>0</v>
      </c>
      <c r="AL45" s="32">
        <v>0</v>
      </c>
      <c r="AM45" s="32">
        <v>0</v>
      </c>
      <c r="AN45" s="34"/>
      <c r="AO45" s="32">
        <v>5</v>
      </c>
      <c r="AP45" s="33">
        <v>1.791759469228055</v>
      </c>
      <c r="AQ45" s="32">
        <v>15</v>
      </c>
      <c r="AR45" s="33">
        <v>2.7080502011022101</v>
      </c>
      <c r="AS45" s="32">
        <v>39</v>
      </c>
      <c r="AT45" s="32">
        <v>40</v>
      </c>
      <c r="AU45" s="32">
        <v>40</v>
      </c>
      <c r="AV45" s="32">
        <v>8</v>
      </c>
      <c r="AW45" s="32">
        <v>1</v>
      </c>
      <c r="AX45" s="33">
        <v>0</v>
      </c>
      <c r="AY45" s="32">
        <v>1</v>
      </c>
      <c r="AZ45" s="33">
        <v>0</v>
      </c>
      <c r="BA45" s="34" t="s">
        <v>362</v>
      </c>
      <c r="BB45" s="37">
        <v>58.777000000000001</v>
      </c>
      <c r="BC45" s="37">
        <v>63.19</v>
      </c>
      <c r="BD45" s="38">
        <v>23.088000000000001</v>
      </c>
    </row>
    <row r="46" spans="1:56" x14ac:dyDescent="0.25">
      <c r="A46" s="77" t="s">
        <v>227</v>
      </c>
      <c r="B46" s="91">
        <v>2</v>
      </c>
      <c r="C46" s="84">
        <v>2</v>
      </c>
      <c r="D46" s="24">
        <v>1</v>
      </c>
      <c r="E46" s="24">
        <v>46</v>
      </c>
      <c r="F46" s="24">
        <v>1</v>
      </c>
      <c r="G46" s="24">
        <v>87</v>
      </c>
      <c r="H46" s="25">
        <v>1.87</v>
      </c>
      <c r="I46" s="24">
        <v>1</v>
      </c>
      <c r="J46" s="24">
        <v>0</v>
      </c>
      <c r="K46" s="24">
        <v>1</v>
      </c>
      <c r="L46" s="24">
        <v>17</v>
      </c>
      <c r="M46" s="24">
        <v>39</v>
      </c>
      <c r="N46" s="24">
        <v>39</v>
      </c>
      <c r="O46" s="26" t="s">
        <v>56</v>
      </c>
      <c r="P46" s="24">
        <v>4</v>
      </c>
      <c r="Q46" s="24">
        <v>0</v>
      </c>
      <c r="R46" s="26" t="s">
        <v>56</v>
      </c>
      <c r="S46" s="26" t="s">
        <v>57</v>
      </c>
      <c r="T46" s="27">
        <v>24.86</v>
      </c>
      <c r="U46" s="24">
        <v>1</v>
      </c>
      <c r="V46" s="120">
        <v>0</v>
      </c>
      <c r="W46" s="124" t="s">
        <v>216</v>
      </c>
      <c r="X46" s="26">
        <v>9</v>
      </c>
      <c r="Y46" s="26"/>
      <c r="Z46" s="26" t="s">
        <v>228</v>
      </c>
      <c r="AA46" s="28">
        <v>42640</v>
      </c>
      <c r="AB46" s="24">
        <v>54</v>
      </c>
      <c r="AC46" s="26" t="s">
        <v>229</v>
      </c>
      <c r="AD46" s="24">
        <v>4</v>
      </c>
      <c r="AE46" s="26" t="s">
        <v>206</v>
      </c>
      <c r="AF46" s="24">
        <v>2016</v>
      </c>
      <c r="AG46" s="24">
        <v>46</v>
      </c>
      <c r="AH46" s="25">
        <v>0</v>
      </c>
      <c r="AI46" s="24">
        <v>0</v>
      </c>
      <c r="AJ46" s="26" t="s">
        <v>230</v>
      </c>
      <c r="AK46" s="24">
        <v>0</v>
      </c>
      <c r="AL46" s="24">
        <v>0</v>
      </c>
      <c r="AM46" s="24">
        <v>0</v>
      </c>
      <c r="AN46" s="26"/>
      <c r="AO46" s="24">
        <v>7</v>
      </c>
      <c r="AP46" s="25">
        <v>2.0794415416798357</v>
      </c>
      <c r="AQ46" s="24">
        <v>17</v>
      </c>
      <c r="AR46" s="25">
        <v>2.8332133440562162</v>
      </c>
      <c r="AS46" s="24">
        <v>34</v>
      </c>
      <c r="AT46" s="24">
        <v>25</v>
      </c>
      <c r="AU46" s="24">
        <v>38</v>
      </c>
      <c r="AV46" s="24">
        <v>7</v>
      </c>
      <c r="AW46" s="24">
        <v>3</v>
      </c>
      <c r="AX46" s="25">
        <v>1.0986122886681098</v>
      </c>
      <c r="AY46" s="24">
        <v>5</v>
      </c>
      <c r="AZ46" s="25">
        <v>1.6094379124341003</v>
      </c>
      <c r="BA46" s="26" t="s">
        <v>227</v>
      </c>
      <c r="BB46" s="29">
        <v>77.248999999999995</v>
      </c>
      <c r="BC46" s="29">
        <v>25.867999999999999</v>
      </c>
      <c r="BD46" s="30">
        <v>9.9039000000000001</v>
      </c>
    </row>
    <row r="47" spans="1:56" x14ac:dyDescent="0.25">
      <c r="A47" s="77" t="s">
        <v>231</v>
      </c>
      <c r="B47" s="91">
        <v>2</v>
      </c>
      <c r="C47" s="84">
        <v>2</v>
      </c>
      <c r="D47" s="24">
        <v>1</v>
      </c>
      <c r="E47" s="24">
        <v>24</v>
      </c>
      <c r="F47" s="24">
        <v>0</v>
      </c>
      <c r="G47" s="24">
        <v>60</v>
      </c>
      <c r="H47" s="25">
        <v>1.58</v>
      </c>
      <c r="I47" s="24">
        <v>0</v>
      </c>
      <c r="J47" s="24">
        <v>1</v>
      </c>
      <c r="K47" s="24">
        <v>1</v>
      </c>
      <c r="L47" s="24">
        <v>5</v>
      </c>
      <c r="M47" s="24">
        <v>26</v>
      </c>
      <c r="N47" s="24">
        <v>31</v>
      </c>
      <c r="O47" s="26" t="s">
        <v>57</v>
      </c>
      <c r="P47" s="24">
        <v>0</v>
      </c>
      <c r="Q47" s="24">
        <v>1</v>
      </c>
      <c r="R47" s="26" t="s">
        <v>56</v>
      </c>
      <c r="S47" s="26" t="s">
        <v>57</v>
      </c>
      <c r="T47" s="27">
        <v>24</v>
      </c>
      <c r="U47" s="24">
        <v>1</v>
      </c>
      <c r="V47" s="120">
        <v>0</v>
      </c>
      <c r="W47" s="124" t="s">
        <v>232</v>
      </c>
      <c r="X47" s="26">
        <v>123.13</v>
      </c>
      <c r="Y47" s="26" t="s">
        <v>233</v>
      </c>
      <c r="Z47" s="26" t="s">
        <v>234</v>
      </c>
      <c r="AA47" s="28">
        <v>42647</v>
      </c>
      <c r="AB47" s="24">
        <v>4</v>
      </c>
      <c r="AC47" s="26" t="s">
        <v>235</v>
      </c>
      <c r="AD47" s="24">
        <v>20</v>
      </c>
      <c r="AE47" s="26" t="s">
        <v>236</v>
      </c>
      <c r="AF47" s="24">
        <v>2016</v>
      </c>
      <c r="AG47" s="24">
        <v>24</v>
      </c>
      <c r="AH47" s="25">
        <v>0</v>
      </c>
      <c r="AI47" s="24">
        <v>1</v>
      </c>
      <c r="AJ47" s="26" t="s">
        <v>237</v>
      </c>
      <c r="AK47" s="24">
        <v>0</v>
      </c>
      <c r="AL47" s="24">
        <v>0</v>
      </c>
      <c r="AM47" s="24">
        <v>0</v>
      </c>
      <c r="AN47" s="26"/>
      <c r="AO47" s="24">
        <v>23</v>
      </c>
      <c r="AP47" s="25">
        <v>3.1780538303479458</v>
      </c>
      <c r="AQ47" s="24">
        <v>28</v>
      </c>
      <c r="AR47" s="25">
        <v>3.3322045101752038</v>
      </c>
      <c r="AS47" s="24">
        <v>22</v>
      </c>
      <c r="AT47" s="24">
        <v>21</v>
      </c>
      <c r="AU47" s="24">
        <v>25</v>
      </c>
      <c r="AV47" s="24">
        <v>14</v>
      </c>
      <c r="AW47" s="24">
        <v>4</v>
      </c>
      <c r="AX47" s="25">
        <v>1.3862943611198906</v>
      </c>
      <c r="AY47" s="24">
        <v>3</v>
      </c>
      <c r="AZ47" s="25">
        <v>1.0986122886681098</v>
      </c>
      <c r="BA47" s="26" t="s">
        <v>231</v>
      </c>
      <c r="BB47" s="29">
        <v>58.463999999999999</v>
      </c>
      <c r="BC47" s="29">
        <v>97.114000000000004</v>
      </c>
      <c r="BD47" s="30">
        <v>105.88</v>
      </c>
    </row>
    <row r="48" spans="1:56" x14ac:dyDescent="0.25">
      <c r="A48" s="79" t="s">
        <v>368</v>
      </c>
      <c r="B48" s="93">
        <v>3</v>
      </c>
      <c r="C48" s="86">
        <v>2</v>
      </c>
      <c r="D48" s="32">
        <v>2</v>
      </c>
      <c r="E48" s="32">
        <v>44</v>
      </c>
      <c r="F48" s="32">
        <v>0</v>
      </c>
      <c r="G48" s="32">
        <v>84</v>
      </c>
      <c r="H48" s="33">
        <v>1.64</v>
      </c>
      <c r="I48" s="32">
        <v>1</v>
      </c>
      <c r="J48" s="32">
        <v>0</v>
      </c>
      <c r="K48" s="32">
        <v>1</v>
      </c>
      <c r="L48" s="32">
        <v>17</v>
      </c>
      <c r="M48" s="32">
        <v>26</v>
      </c>
      <c r="N48" s="32">
        <v>18</v>
      </c>
      <c r="O48" s="34" t="s">
        <v>56</v>
      </c>
      <c r="P48" s="32">
        <v>5</v>
      </c>
      <c r="Q48" s="32">
        <v>1</v>
      </c>
      <c r="R48" s="34" t="s">
        <v>57</v>
      </c>
      <c r="S48" s="34" t="s">
        <v>57</v>
      </c>
      <c r="T48" s="35">
        <v>31.23</v>
      </c>
      <c r="U48" s="32">
        <v>1</v>
      </c>
      <c r="V48" s="122">
        <v>1</v>
      </c>
      <c r="W48" s="125" t="s">
        <v>347</v>
      </c>
      <c r="X48" s="34">
        <v>25.84</v>
      </c>
      <c r="Y48" s="34" t="s">
        <v>369</v>
      </c>
      <c r="Z48" s="34" t="s">
        <v>370</v>
      </c>
      <c r="AA48" s="36">
        <v>42647</v>
      </c>
      <c r="AB48" s="32">
        <v>356</v>
      </c>
      <c r="AC48" s="34" t="s">
        <v>371</v>
      </c>
      <c r="AD48" s="32">
        <v>1</v>
      </c>
      <c r="AE48" s="34" t="s">
        <v>220</v>
      </c>
      <c r="AF48" s="32">
        <v>2013</v>
      </c>
      <c r="AG48" s="32">
        <v>41</v>
      </c>
      <c r="AH48" s="33">
        <v>3</v>
      </c>
      <c r="AI48" s="32">
        <v>1</v>
      </c>
      <c r="AJ48" s="34" t="s">
        <v>372</v>
      </c>
      <c r="AK48" s="32">
        <v>0</v>
      </c>
      <c r="AL48" s="39" t="e">
        <v>#NULL!</v>
      </c>
      <c r="AM48" s="39" t="e">
        <v>#NULL!</v>
      </c>
      <c r="AN48" s="34" t="s">
        <v>373</v>
      </c>
      <c r="AO48" s="32">
        <v>34</v>
      </c>
      <c r="AP48" s="33">
        <v>3.5553480614894135</v>
      </c>
      <c r="AQ48" s="32">
        <v>28</v>
      </c>
      <c r="AR48" s="33">
        <v>3.3322045101752038</v>
      </c>
      <c r="AS48" s="32">
        <v>21</v>
      </c>
      <c r="AT48" s="32">
        <v>23</v>
      </c>
      <c r="AU48" s="32">
        <v>15</v>
      </c>
      <c r="AV48" s="32">
        <v>14</v>
      </c>
      <c r="AW48" s="32">
        <v>4</v>
      </c>
      <c r="AX48" s="33">
        <v>1.3862943611198906</v>
      </c>
      <c r="AY48" s="32">
        <v>6</v>
      </c>
      <c r="AZ48" s="33">
        <v>1.791759469228055</v>
      </c>
      <c r="BA48" s="34" t="s">
        <v>368</v>
      </c>
      <c r="BB48" s="37">
        <v>51.999000000000002</v>
      </c>
      <c r="BC48" s="37">
        <v>36.582000000000001</v>
      </c>
      <c r="BD48" s="38">
        <v>44.771000000000001</v>
      </c>
    </row>
    <row r="49" spans="1:56" x14ac:dyDescent="0.25">
      <c r="A49" s="77" t="s">
        <v>238</v>
      </c>
      <c r="B49" s="91">
        <v>2</v>
      </c>
      <c r="C49" s="84">
        <v>2</v>
      </c>
      <c r="D49" s="24">
        <v>1</v>
      </c>
      <c r="E49" s="24">
        <v>26</v>
      </c>
      <c r="F49" s="24">
        <v>1</v>
      </c>
      <c r="G49" s="24">
        <v>75</v>
      </c>
      <c r="H49" s="25">
        <v>1.85</v>
      </c>
      <c r="I49" s="24">
        <v>0</v>
      </c>
      <c r="J49" s="24">
        <v>1</v>
      </c>
      <c r="K49" s="24">
        <v>1</v>
      </c>
      <c r="L49" s="24">
        <v>4</v>
      </c>
      <c r="M49" s="24">
        <v>3</v>
      </c>
      <c r="N49" s="24">
        <v>3</v>
      </c>
      <c r="O49" s="26" t="s">
        <v>56</v>
      </c>
      <c r="P49" s="24">
        <v>2</v>
      </c>
      <c r="Q49" s="24">
        <v>1</v>
      </c>
      <c r="R49" s="26" t="s">
        <v>57</v>
      </c>
      <c r="S49" s="26" t="s">
        <v>57</v>
      </c>
      <c r="T49" s="27">
        <v>21.93</v>
      </c>
      <c r="U49" s="24">
        <v>1</v>
      </c>
      <c r="V49" s="120">
        <v>0</v>
      </c>
      <c r="W49" s="124" t="s">
        <v>202</v>
      </c>
      <c r="X49" s="26">
        <v>369.38</v>
      </c>
      <c r="Y49" s="26" t="s">
        <v>239</v>
      </c>
      <c r="Z49" s="26" t="s">
        <v>240</v>
      </c>
      <c r="AA49" s="28">
        <v>42656</v>
      </c>
      <c r="AB49" s="24">
        <v>38</v>
      </c>
      <c r="AC49" s="26" t="s">
        <v>241</v>
      </c>
      <c r="AD49" s="24">
        <v>4</v>
      </c>
      <c r="AE49" s="26" t="s">
        <v>220</v>
      </c>
      <c r="AF49" s="24">
        <v>2013</v>
      </c>
      <c r="AG49" s="24">
        <v>23</v>
      </c>
      <c r="AH49" s="25">
        <v>3</v>
      </c>
      <c r="AI49" s="24">
        <v>0</v>
      </c>
      <c r="AJ49" s="26"/>
      <c r="AK49" s="24">
        <v>0</v>
      </c>
      <c r="AL49" s="24">
        <v>0</v>
      </c>
      <c r="AM49" s="24">
        <v>0</v>
      </c>
      <c r="AN49" s="26"/>
      <c r="AO49" s="24">
        <v>10</v>
      </c>
      <c r="AP49" s="25">
        <v>2.3978952727983707</v>
      </c>
      <c r="AQ49" s="24">
        <v>19</v>
      </c>
      <c r="AR49" s="25">
        <v>2.9444389791664403</v>
      </c>
      <c r="AS49" s="24">
        <v>30</v>
      </c>
      <c r="AT49" s="24">
        <v>31</v>
      </c>
      <c r="AU49" s="24">
        <v>17</v>
      </c>
      <c r="AV49" s="24">
        <v>9</v>
      </c>
      <c r="AW49" s="24">
        <v>3</v>
      </c>
      <c r="AX49" s="25">
        <v>1.0986122886681098</v>
      </c>
      <c r="AY49" s="24">
        <v>1</v>
      </c>
      <c r="AZ49" s="25">
        <v>0</v>
      </c>
      <c r="BA49" s="26" t="s">
        <v>238</v>
      </c>
      <c r="BB49" s="29">
        <v>101.49</v>
      </c>
      <c r="BC49" s="29">
        <v>20.538</v>
      </c>
      <c r="BD49" s="30">
        <v>3.9497</v>
      </c>
    </row>
    <row r="50" spans="1:56" x14ac:dyDescent="0.25">
      <c r="A50" s="79" t="s">
        <v>374</v>
      </c>
      <c r="B50" s="93">
        <v>3</v>
      </c>
      <c r="C50" s="86">
        <v>2</v>
      </c>
      <c r="D50" s="32">
        <v>2</v>
      </c>
      <c r="E50" s="32">
        <v>30</v>
      </c>
      <c r="F50" s="32">
        <v>0</v>
      </c>
      <c r="G50" s="32">
        <v>54</v>
      </c>
      <c r="H50" s="33">
        <v>1.67</v>
      </c>
      <c r="I50" s="32">
        <v>0</v>
      </c>
      <c r="J50" s="32">
        <v>1</v>
      </c>
      <c r="K50" s="32">
        <v>0</v>
      </c>
      <c r="L50" s="32">
        <v>0</v>
      </c>
      <c r="M50" s="32">
        <v>4</v>
      </c>
      <c r="N50" s="32">
        <v>6</v>
      </c>
      <c r="O50" s="34" t="s">
        <v>56</v>
      </c>
      <c r="P50" s="32">
        <v>2</v>
      </c>
      <c r="Q50" s="32">
        <v>1</v>
      </c>
      <c r="R50" s="34" t="s">
        <v>57</v>
      </c>
      <c r="S50" s="34" t="s">
        <v>57</v>
      </c>
      <c r="T50" s="35">
        <v>19.350000000000001</v>
      </c>
      <c r="U50" s="32">
        <v>0</v>
      </c>
      <c r="V50" s="122">
        <v>1</v>
      </c>
      <c r="W50" s="125" t="s">
        <v>375</v>
      </c>
      <c r="X50" s="34">
        <v>299.20999999999998</v>
      </c>
      <c r="Y50" s="34" t="s">
        <v>376</v>
      </c>
      <c r="Z50" s="34" t="s">
        <v>377</v>
      </c>
      <c r="AA50" s="36">
        <v>42657</v>
      </c>
      <c r="AB50" s="32">
        <v>6</v>
      </c>
      <c r="AC50" s="34" t="s">
        <v>235</v>
      </c>
      <c r="AD50" s="32">
        <v>20</v>
      </c>
      <c r="AE50" s="34" t="s">
        <v>378</v>
      </c>
      <c r="AF50" s="32">
        <v>2004</v>
      </c>
      <c r="AG50" s="32">
        <v>18</v>
      </c>
      <c r="AH50" s="33">
        <v>12</v>
      </c>
      <c r="AI50" s="32">
        <v>0</v>
      </c>
      <c r="AJ50" s="34"/>
      <c r="AK50" s="32">
        <v>0</v>
      </c>
      <c r="AL50" s="32">
        <v>0</v>
      </c>
      <c r="AM50" s="32">
        <v>0</v>
      </c>
      <c r="AN50" s="34"/>
      <c r="AO50" s="32">
        <v>20</v>
      </c>
      <c r="AP50" s="33">
        <v>3.044522437723423</v>
      </c>
      <c r="AQ50" s="32">
        <v>26</v>
      </c>
      <c r="AR50" s="33">
        <v>3.2580965380214821</v>
      </c>
      <c r="AS50" s="32">
        <v>18</v>
      </c>
      <c r="AT50" s="32">
        <v>21</v>
      </c>
      <c r="AU50" s="32">
        <v>29</v>
      </c>
      <c r="AV50" s="32">
        <v>10</v>
      </c>
      <c r="AW50" s="32">
        <v>4</v>
      </c>
      <c r="AX50" s="33">
        <v>1.3862943611198906</v>
      </c>
      <c r="AY50" s="32">
        <v>5</v>
      </c>
      <c r="AZ50" s="33">
        <v>1.6094379124341003</v>
      </c>
      <c r="BA50" s="34" t="s">
        <v>374</v>
      </c>
      <c r="BB50" s="37">
        <v>89.986999999999995</v>
      </c>
      <c r="BC50" s="37">
        <v>20.216000000000001</v>
      </c>
      <c r="BD50" s="38">
        <v>10.313000000000001</v>
      </c>
    </row>
    <row r="51" spans="1:56" x14ac:dyDescent="0.25">
      <c r="A51" s="79" t="s">
        <v>379</v>
      </c>
      <c r="B51" s="93">
        <v>3</v>
      </c>
      <c r="C51" s="86">
        <v>2</v>
      </c>
      <c r="D51" s="32">
        <v>2</v>
      </c>
      <c r="E51" s="32">
        <v>43</v>
      </c>
      <c r="F51" s="32">
        <v>0</v>
      </c>
      <c r="G51" s="32">
        <v>78</v>
      </c>
      <c r="H51" s="33">
        <v>1.68</v>
      </c>
      <c r="I51" s="32">
        <v>1</v>
      </c>
      <c r="J51" s="32">
        <v>0</v>
      </c>
      <c r="K51" s="32">
        <v>0</v>
      </c>
      <c r="L51" s="32">
        <v>0</v>
      </c>
      <c r="M51" s="32">
        <v>2</v>
      </c>
      <c r="N51" s="32">
        <v>2</v>
      </c>
      <c r="O51" s="34" t="s">
        <v>57</v>
      </c>
      <c r="P51" s="32">
        <v>0</v>
      </c>
      <c r="Q51" s="32">
        <v>1</v>
      </c>
      <c r="R51" s="34" t="s">
        <v>57</v>
      </c>
      <c r="S51" s="34" t="s">
        <v>57</v>
      </c>
      <c r="T51" s="35">
        <v>27.66</v>
      </c>
      <c r="U51" s="32">
        <v>0</v>
      </c>
      <c r="V51" s="122">
        <v>1</v>
      </c>
      <c r="W51" s="125" t="s">
        <v>380</v>
      </c>
      <c r="X51" s="34">
        <v>560.25</v>
      </c>
      <c r="Y51" s="34" t="s">
        <v>381</v>
      </c>
      <c r="Z51" s="34" t="s">
        <v>382</v>
      </c>
      <c r="AA51" s="36">
        <v>42663</v>
      </c>
      <c r="AB51" s="32">
        <v>180</v>
      </c>
      <c r="AC51" s="34" t="s">
        <v>199</v>
      </c>
      <c r="AD51" s="32">
        <v>2</v>
      </c>
      <c r="AE51" s="34" t="s">
        <v>383</v>
      </c>
      <c r="AF51" s="32">
        <v>2002</v>
      </c>
      <c r="AG51" s="32">
        <v>29</v>
      </c>
      <c r="AH51" s="33">
        <v>14</v>
      </c>
      <c r="AI51" s="32">
        <v>0</v>
      </c>
      <c r="AJ51" s="34"/>
      <c r="AK51" s="32">
        <v>1</v>
      </c>
      <c r="AL51" s="32">
        <v>-2.5</v>
      </c>
      <c r="AM51" s="32">
        <v>-2.5</v>
      </c>
      <c r="AN51" s="34"/>
      <c r="AO51" s="32">
        <v>27</v>
      </c>
      <c r="AP51" s="33">
        <v>3.3322045101752038</v>
      </c>
      <c r="AQ51" s="32">
        <v>37</v>
      </c>
      <c r="AR51" s="33">
        <v>3.6109179126442243</v>
      </c>
      <c r="AS51" s="32">
        <v>18</v>
      </c>
      <c r="AT51" s="32">
        <v>17</v>
      </c>
      <c r="AU51" s="32">
        <v>10</v>
      </c>
      <c r="AV51" s="32">
        <v>4</v>
      </c>
      <c r="AW51" s="32">
        <v>4</v>
      </c>
      <c r="AX51" s="33">
        <v>1.3862943611198906</v>
      </c>
      <c r="AY51" s="32">
        <v>4</v>
      </c>
      <c r="AZ51" s="33">
        <v>1.3862943611198906</v>
      </c>
      <c r="BA51" s="34" t="s">
        <v>379</v>
      </c>
      <c r="BB51" s="37">
        <v>78.262</v>
      </c>
      <c r="BC51" s="37">
        <v>18.552</v>
      </c>
      <c r="BD51" s="38">
        <v>10.914999999999999</v>
      </c>
    </row>
    <row r="52" spans="1:56" x14ac:dyDescent="0.25">
      <c r="A52" s="77" t="s">
        <v>242</v>
      </c>
      <c r="B52" s="91">
        <v>2</v>
      </c>
      <c r="C52" s="84">
        <v>2</v>
      </c>
      <c r="D52" s="24">
        <v>1</v>
      </c>
      <c r="E52" s="24">
        <v>50</v>
      </c>
      <c r="F52" s="24">
        <v>0</v>
      </c>
      <c r="G52" s="24">
        <v>54</v>
      </c>
      <c r="H52" s="25">
        <v>1.58</v>
      </c>
      <c r="I52" s="24">
        <v>1</v>
      </c>
      <c r="J52" s="24">
        <v>0</v>
      </c>
      <c r="K52" s="24">
        <v>0</v>
      </c>
      <c r="L52" s="24">
        <v>13</v>
      </c>
      <c r="M52" s="24">
        <v>57</v>
      </c>
      <c r="N52" s="24">
        <v>51</v>
      </c>
      <c r="O52" s="26" t="s">
        <v>56</v>
      </c>
      <c r="P52" s="24">
        <v>4</v>
      </c>
      <c r="Q52" s="24">
        <v>1</v>
      </c>
      <c r="R52" s="26" t="s">
        <v>57</v>
      </c>
      <c r="S52" s="26" t="s">
        <v>57</v>
      </c>
      <c r="T52" s="27">
        <v>21.6</v>
      </c>
      <c r="U52" s="24">
        <v>1</v>
      </c>
      <c r="V52" s="120">
        <v>0</v>
      </c>
      <c r="W52" s="124" t="s">
        <v>202</v>
      </c>
      <c r="X52" s="26">
        <v>369.38</v>
      </c>
      <c r="Y52" s="26"/>
      <c r="Z52" s="26" t="s">
        <v>243</v>
      </c>
      <c r="AA52" s="28">
        <v>42663</v>
      </c>
      <c r="AB52" s="24">
        <v>8</v>
      </c>
      <c r="AC52" s="26" t="s">
        <v>205</v>
      </c>
      <c r="AD52" s="24">
        <v>8</v>
      </c>
      <c r="AE52" s="26" t="s">
        <v>244</v>
      </c>
      <c r="AF52" s="24">
        <v>2016</v>
      </c>
      <c r="AG52" s="24">
        <v>50</v>
      </c>
      <c r="AH52" s="25">
        <v>0</v>
      </c>
      <c r="AI52" s="24">
        <v>1</v>
      </c>
      <c r="AJ52" s="26" t="s">
        <v>245</v>
      </c>
      <c r="AK52" s="24">
        <v>1</v>
      </c>
      <c r="AL52" s="24">
        <v>0</v>
      </c>
      <c r="AM52" s="24">
        <v>-0.5</v>
      </c>
      <c r="AN52" s="26"/>
      <c r="AO52" s="24">
        <v>6</v>
      </c>
      <c r="AP52" s="25">
        <v>1.9459101490553132</v>
      </c>
      <c r="AQ52" s="24">
        <v>13</v>
      </c>
      <c r="AR52" s="25">
        <v>2.5649493574615367</v>
      </c>
      <c r="AS52" s="24">
        <v>36</v>
      </c>
      <c r="AT52" s="24">
        <v>21</v>
      </c>
      <c r="AU52" s="24">
        <v>36</v>
      </c>
      <c r="AV52" s="24">
        <v>3</v>
      </c>
      <c r="AW52" s="24">
        <v>3</v>
      </c>
      <c r="AX52" s="25">
        <v>1.0986122886681098</v>
      </c>
      <c r="AY52" s="24">
        <v>2</v>
      </c>
      <c r="AZ52" s="25">
        <v>0.69314718055994529</v>
      </c>
      <c r="BA52" s="26" t="s">
        <v>242</v>
      </c>
      <c r="BB52" s="29">
        <v>64.852000000000004</v>
      </c>
      <c r="BC52" s="29">
        <v>50.113999999999997</v>
      </c>
      <c r="BD52" s="30">
        <v>33.393000000000001</v>
      </c>
    </row>
    <row r="53" spans="1:56" x14ac:dyDescent="0.25">
      <c r="A53" s="77" t="s">
        <v>246</v>
      </c>
      <c r="B53" s="91">
        <v>2</v>
      </c>
      <c r="C53" s="84">
        <v>2</v>
      </c>
      <c r="D53" s="24">
        <v>1</v>
      </c>
      <c r="E53" s="24">
        <v>36</v>
      </c>
      <c r="F53" s="24">
        <v>0</v>
      </c>
      <c r="G53" s="24">
        <v>63</v>
      </c>
      <c r="H53" s="25">
        <v>1.76</v>
      </c>
      <c r="I53" s="24">
        <v>0</v>
      </c>
      <c r="J53" s="24">
        <v>1</v>
      </c>
      <c r="K53" s="24">
        <v>1</v>
      </c>
      <c r="L53" s="24">
        <v>12</v>
      </c>
      <c r="M53" s="24">
        <v>39</v>
      </c>
      <c r="N53" s="24">
        <v>31</v>
      </c>
      <c r="O53" s="26" t="s">
        <v>56</v>
      </c>
      <c r="P53" s="24">
        <v>6</v>
      </c>
      <c r="Q53" s="24">
        <v>1</v>
      </c>
      <c r="R53" s="26" t="s">
        <v>56</v>
      </c>
      <c r="S53" s="26" t="s">
        <v>57</v>
      </c>
      <c r="T53" s="27">
        <v>20.32</v>
      </c>
      <c r="U53" s="24">
        <v>1</v>
      </c>
      <c r="V53" s="120">
        <v>0</v>
      </c>
      <c r="W53" s="124" t="s">
        <v>247</v>
      </c>
      <c r="X53" s="26">
        <v>246.25</v>
      </c>
      <c r="Y53" s="26" t="s">
        <v>248</v>
      </c>
      <c r="Z53" s="26" t="s">
        <v>249</v>
      </c>
      <c r="AA53" s="28">
        <v>42688</v>
      </c>
      <c r="AB53" s="24">
        <v>14</v>
      </c>
      <c r="AC53" s="26" t="s">
        <v>250</v>
      </c>
      <c r="AD53" s="24">
        <v>12</v>
      </c>
      <c r="AE53" s="26" t="s">
        <v>251</v>
      </c>
      <c r="AF53" s="24">
        <v>2014</v>
      </c>
      <c r="AG53" s="24">
        <v>34</v>
      </c>
      <c r="AH53" s="25">
        <v>2</v>
      </c>
      <c r="AI53" s="24">
        <v>1</v>
      </c>
      <c r="AJ53" s="26" t="s">
        <v>252</v>
      </c>
      <c r="AK53" s="24">
        <v>1</v>
      </c>
      <c r="AL53" s="24">
        <v>-8</v>
      </c>
      <c r="AM53" s="24">
        <v>-8</v>
      </c>
      <c r="AN53" s="26" t="s">
        <v>90</v>
      </c>
      <c r="AO53" s="24">
        <v>11</v>
      </c>
      <c r="AP53" s="25">
        <v>2.4849066497880004</v>
      </c>
      <c r="AQ53" s="24">
        <v>22</v>
      </c>
      <c r="AR53" s="25">
        <v>3.0910424533583161</v>
      </c>
      <c r="AS53" s="24">
        <v>26</v>
      </c>
      <c r="AT53" s="24">
        <v>24</v>
      </c>
      <c r="AU53" s="24">
        <v>30</v>
      </c>
      <c r="AV53" s="24">
        <v>4</v>
      </c>
      <c r="AW53" s="24">
        <v>3</v>
      </c>
      <c r="AX53" s="25">
        <v>1.0986122886681098</v>
      </c>
      <c r="AY53" s="24">
        <v>3</v>
      </c>
      <c r="AZ53" s="25">
        <v>1.0986122886681098</v>
      </c>
      <c r="BA53" s="26" t="s">
        <v>246</v>
      </c>
      <c r="BB53" s="29">
        <v>74.016999999999996</v>
      </c>
      <c r="BC53" s="29">
        <v>44.386000000000003</v>
      </c>
      <c r="BD53" s="30">
        <v>40.673999999999999</v>
      </c>
    </row>
    <row r="54" spans="1:56" x14ac:dyDescent="0.25">
      <c r="A54" s="77" t="s">
        <v>253</v>
      </c>
      <c r="B54" s="91">
        <v>2</v>
      </c>
      <c r="C54" s="84">
        <v>2</v>
      </c>
      <c r="D54" s="24">
        <v>1</v>
      </c>
      <c r="E54" s="24">
        <v>20</v>
      </c>
      <c r="F54" s="24">
        <v>1</v>
      </c>
      <c r="G54" s="24">
        <v>91</v>
      </c>
      <c r="H54" s="25">
        <v>2</v>
      </c>
      <c r="I54" s="24">
        <v>0</v>
      </c>
      <c r="J54" s="24">
        <v>1</v>
      </c>
      <c r="K54" s="24">
        <v>0</v>
      </c>
      <c r="L54" s="24">
        <v>0</v>
      </c>
      <c r="M54" s="24">
        <v>10</v>
      </c>
      <c r="N54" s="24">
        <v>13</v>
      </c>
      <c r="O54" s="26" t="s">
        <v>57</v>
      </c>
      <c r="P54" s="24">
        <v>0</v>
      </c>
      <c r="Q54" s="24">
        <v>1</v>
      </c>
      <c r="R54" s="26" t="s">
        <v>57</v>
      </c>
      <c r="S54" s="26" t="s">
        <v>57</v>
      </c>
      <c r="T54" s="27">
        <v>22.75</v>
      </c>
      <c r="U54" s="24">
        <v>1</v>
      </c>
      <c r="V54" s="120">
        <v>0</v>
      </c>
      <c r="W54" s="124" t="s">
        <v>254</v>
      </c>
      <c r="X54" s="26">
        <v>0.5</v>
      </c>
      <c r="Y54" s="26"/>
      <c r="Z54" s="26" t="s">
        <v>255</v>
      </c>
      <c r="AA54" s="28">
        <v>42717</v>
      </c>
      <c r="AB54" s="24">
        <v>28</v>
      </c>
      <c r="AC54" s="26" t="s">
        <v>205</v>
      </c>
      <c r="AD54" s="24">
        <v>8</v>
      </c>
      <c r="AE54" s="26" t="s">
        <v>220</v>
      </c>
      <c r="AF54" s="24">
        <v>2013</v>
      </c>
      <c r="AG54" s="24">
        <v>17</v>
      </c>
      <c r="AH54" s="25">
        <v>3</v>
      </c>
      <c r="AI54" s="24">
        <v>0</v>
      </c>
      <c r="AJ54" s="26"/>
      <c r="AK54" s="24">
        <v>0</v>
      </c>
      <c r="AL54" s="24">
        <v>0</v>
      </c>
      <c r="AM54" s="24">
        <v>0</v>
      </c>
      <c r="AN54" s="26"/>
      <c r="AO54" s="24">
        <v>27</v>
      </c>
      <c r="AP54" s="25">
        <v>3.3322045101752038</v>
      </c>
      <c r="AQ54" s="24">
        <v>22</v>
      </c>
      <c r="AR54" s="25">
        <v>3.0910424533583161</v>
      </c>
      <c r="AS54" s="24">
        <v>15</v>
      </c>
      <c r="AT54" s="24">
        <v>14</v>
      </c>
      <c r="AU54" s="24">
        <v>25</v>
      </c>
      <c r="AV54" s="24">
        <v>10</v>
      </c>
      <c r="AW54" s="24">
        <v>3</v>
      </c>
      <c r="AX54" s="25">
        <v>1.0986122886681098</v>
      </c>
      <c r="AY54" s="24">
        <v>4</v>
      </c>
      <c r="AZ54" s="25">
        <v>1.3862943611198906</v>
      </c>
      <c r="BA54" s="26" t="s">
        <v>253</v>
      </c>
      <c r="BB54" s="29">
        <v>61.74</v>
      </c>
      <c r="BC54" s="29">
        <v>61.817</v>
      </c>
      <c r="BD54" s="30">
        <v>55.808999999999997</v>
      </c>
    </row>
    <row r="55" spans="1:56" x14ac:dyDescent="0.25">
      <c r="A55" s="77" t="s">
        <v>256</v>
      </c>
      <c r="B55" s="91">
        <v>2</v>
      </c>
      <c r="C55" s="84">
        <v>2</v>
      </c>
      <c r="D55" s="24">
        <v>1</v>
      </c>
      <c r="E55" s="24">
        <v>26</v>
      </c>
      <c r="F55" s="24">
        <v>1</v>
      </c>
      <c r="G55" s="24">
        <v>67</v>
      </c>
      <c r="H55" s="25">
        <v>1.78</v>
      </c>
      <c r="I55" s="24">
        <v>1</v>
      </c>
      <c r="J55" s="24">
        <v>0</v>
      </c>
      <c r="K55" s="24">
        <v>1</v>
      </c>
      <c r="L55" s="24">
        <v>16</v>
      </c>
      <c r="M55" s="24">
        <v>24</v>
      </c>
      <c r="N55" s="24">
        <v>21</v>
      </c>
      <c r="O55" s="26" t="s">
        <v>56</v>
      </c>
      <c r="P55" s="24">
        <v>2</v>
      </c>
      <c r="Q55" s="24">
        <v>1</v>
      </c>
      <c r="R55" s="26" t="s">
        <v>56</v>
      </c>
      <c r="S55" s="26" t="s">
        <v>57</v>
      </c>
      <c r="T55" s="27">
        <v>21.14</v>
      </c>
      <c r="U55" s="24">
        <v>1</v>
      </c>
      <c r="V55" s="120">
        <v>0</v>
      </c>
      <c r="W55" s="124" t="s">
        <v>202</v>
      </c>
      <c r="X55" s="26">
        <v>369.38</v>
      </c>
      <c r="Y55" s="26" t="s">
        <v>257</v>
      </c>
      <c r="Z55" s="26" t="s">
        <v>258</v>
      </c>
      <c r="AA55" s="28">
        <v>42789</v>
      </c>
      <c r="AB55" s="24">
        <v>44</v>
      </c>
      <c r="AC55" s="26" t="s">
        <v>259</v>
      </c>
      <c r="AD55" s="24">
        <v>4</v>
      </c>
      <c r="AE55" s="26" t="s">
        <v>260</v>
      </c>
      <c r="AF55" s="24">
        <v>2017</v>
      </c>
      <c r="AG55" s="24">
        <v>26</v>
      </c>
      <c r="AH55" s="25">
        <v>0</v>
      </c>
      <c r="AI55" s="24">
        <v>0</v>
      </c>
      <c r="AJ55" s="26"/>
      <c r="AK55" s="24">
        <v>0</v>
      </c>
      <c r="AL55" s="24">
        <v>0</v>
      </c>
      <c r="AM55" s="24">
        <v>0</v>
      </c>
      <c r="AN55" s="26"/>
      <c r="AO55" s="24">
        <v>23</v>
      </c>
      <c r="AP55" s="25">
        <v>3.1780538303479458</v>
      </c>
      <c r="AQ55" s="24">
        <v>25</v>
      </c>
      <c r="AR55" s="25">
        <v>3.2188758248682006</v>
      </c>
      <c r="AS55" s="24">
        <v>27</v>
      </c>
      <c r="AT55" s="24">
        <v>12</v>
      </c>
      <c r="AU55" s="24">
        <v>28</v>
      </c>
      <c r="AV55" s="24">
        <v>13</v>
      </c>
      <c r="AW55" s="24">
        <v>4</v>
      </c>
      <c r="AX55" s="25">
        <v>1.3862943611198906</v>
      </c>
      <c r="AY55" s="24">
        <v>6</v>
      </c>
      <c r="AZ55" s="25">
        <v>1.791759469228055</v>
      </c>
      <c r="BA55" s="26" t="s">
        <v>256</v>
      </c>
      <c r="BB55" s="29">
        <v>68.965999999999994</v>
      </c>
      <c r="BC55" s="29">
        <v>41.152000000000001</v>
      </c>
      <c r="BD55" s="30">
        <v>38.573</v>
      </c>
    </row>
    <row r="56" spans="1:56" x14ac:dyDescent="0.25">
      <c r="A56" s="77" t="s">
        <v>261</v>
      </c>
      <c r="B56" s="91">
        <v>2</v>
      </c>
      <c r="C56" s="84">
        <v>2</v>
      </c>
      <c r="D56" s="24">
        <v>1</v>
      </c>
      <c r="E56" s="24">
        <v>38</v>
      </c>
      <c r="F56" s="24">
        <v>0</v>
      </c>
      <c r="G56" s="24">
        <v>76</v>
      </c>
      <c r="H56" s="25">
        <v>1.76</v>
      </c>
      <c r="I56" s="24">
        <v>0</v>
      </c>
      <c r="J56" s="24">
        <v>1</v>
      </c>
      <c r="K56" s="24">
        <v>1</v>
      </c>
      <c r="L56" s="24">
        <v>10</v>
      </c>
      <c r="M56" s="24">
        <v>18</v>
      </c>
      <c r="N56" s="24">
        <v>18</v>
      </c>
      <c r="O56" s="26" t="s">
        <v>56</v>
      </c>
      <c r="P56" s="24">
        <v>3</v>
      </c>
      <c r="Q56" s="24">
        <v>0</v>
      </c>
      <c r="R56" s="26" t="s">
        <v>57</v>
      </c>
      <c r="S56" s="26" t="s">
        <v>57</v>
      </c>
      <c r="T56" s="27">
        <v>24.52</v>
      </c>
      <c r="U56" s="24">
        <v>1</v>
      </c>
      <c r="V56" s="120">
        <v>0</v>
      </c>
      <c r="W56" s="124" t="s">
        <v>262</v>
      </c>
      <c r="X56" s="26">
        <v>492.5</v>
      </c>
      <c r="Y56" s="26" t="s">
        <v>263</v>
      </c>
      <c r="Z56" s="26" t="s">
        <v>264</v>
      </c>
      <c r="AA56" s="28">
        <v>42802</v>
      </c>
      <c r="AB56" s="24">
        <v>59</v>
      </c>
      <c r="AC56" s="26" t="s">
        <v>188</v>
      </c>
      <c r="AD56" s="24">
        <v>24</v>
      </c>
      <c r="AE56" s="26" t="s">
        <v>265</v>
      </c>
      <c r="AF56" s="24">
        <v>2016</v>
      </c>
      <c r="AG56" s="24">
        <v>37</v>
      </c>
      <c r="AH56" s="25">
        <v>1</v>
      </c>
      <c r="AI56" s="24">
        <v>0</v>
      </c>
      <c r="AJ56" s="26"/>
      <c r="AK56" s="24">
        <v>1</v>
      </c>
      <c r="AL56" s="24">
        <v>5.25</v>
      </c>
      <c r="AM56" s="24">
        <v>5.5</v>
      </c>
      <c r="AN56" s="26" t="s">
        <v>266</v>
      </c>
      <c r="AO56" s="24">
        <v>25</v>
      </c>
      <c r="AP56" s="25">
        <v>3.2580965380214821</v>
      </c>
      <c r="AQ56" s="24">
        <v>39</v>
      </c>
      <c r="AR56" s="25">
        <v>3.6635616461296463</v>
      </c>
      <c r="AS56" s="24">
        <v>15</v>
      </c>
      <c r="AT56" s="24">
        <v>32</v>
      </c>
      <c r="AU56" s="24">
        <v>19</v>
      </c>
      <c r="AV56" s="24">
        <v>15</v>
      </c>
      <c r="AW56" s="24">
        <v>3</v>
      </c>
      <c r="AX56" s="25">
        <v>1.0986122886681098</v>
      </c>
      <c r="AY56" s="24">
        <v>6</v>
      </c>
      <c r="AZ56" s="25">
        <v>1.791759469228055</v>
      </c>
      <c r="BA56" s="26" t="s">
        <v>261</v>
      </c>
      <c r="BB56" s="29">
        <v>80.918000000000006</v>
      </c>
      <c r="BC56" s="29">
        <v>21.117999999999999</v>
      </c>
      <c r="BD56" s="30">
        <v>12.347</v>
      </c>
    </row>
    <row r="57" spans="1:56" x14ac:dyDescent="0.25">
      <c r="A57" s="77" t="s">
        <v>267</v>
      </c>
      <c r="B57" s="91">
        <v>2</v>
      </c>
      <c r="C57" s="84">
        <v>2</v>
      </c>
      <c r="D57" s="24">
        <v>1</v>
      </c>
      <c r="E57" s="24">
        <v>27</v>
      </c>
      <c r="F57" s="24">
        <v>1</v>
      </c>
      <c r="G57" s="24">
        <v>84</v>
      </c>
      <c r="H57" s="25">
        <v>1.74</v>
      </c>
      <c r="I57" s="24">
        <v>0</v>
      </c>
      <c r="J57" s="24">
        <v>1</v>
      </c>
      <c r="K57" s="24">
        <v>0</v>
      </c>
      <c r="L57" s="24">
        <v>0</v>
      </c>
      <c r="M57" s="24">
        <v>12</v>
      </c>
      <c r="N57" s="24">
        <v>14</v>
      </c>
      <c r="O57" s="26" t="s">
        <v>57</v>
      </c>
      <c r="P57" s="24">
        <v>2</v>
      </c>
      <c r="Q57" s="24">
        <v>1</v>
      </c>
      <c r="R57" s="26" t="s">
        <v>57</v>
      </c>
      <c r="S57" s="26" t="s">
        <v>57</v>
      </c>
      <c r="T57" s="27">
        <v>27.72</v>
      </c>
      <c r="U57" s="24">
        <v>1</v>
      </c>
      <c r="V57" s="120">
        <v>0</v>
      </c>
      <c r="W57" s="124" t="s">
        <v>268</v>
      </c>
      <c r="X57" s="26">
        <v>492.5</v>
      </c>
      <c r="Y57" s="26" t="s">
        <v>269</v>
      </c>
      <c r="Z57" s="26" t="s">
        <v>270</v>
      </c>
      <c r="AA57" s="28">
        <v>42853</v>
      </c>
      <c r="AB57" s="24">
        <v>18</v>
      </c>
      <c r="AC57" s="26" t="s">
        <v>271</v>
      </c>
      <c r="AD57" s="24">
        <v>0</v>
      </c>
      <c r="AE57" s="26" t="s">
        <v>272</v>
      </c>
      <c r="AF57" s="24">
        <v>2016</v>
      </c>
      <c r="AG57" s="24">
        <v>26</v>
      </c>
      <c r="AH57" s="25">
        <v>1</v>
      </c>
      <c r="AI57" s="24">
        <v>0</v>
      </c>
      <c r="AJ57" s="26" t="s">
        <v>273</v>
      </c>
      <c r="AK57" s="24">
        <v>0</v>
      </c>
      <c r="AL57" s="24">
        <v>0</v>
      </c>
      <c r="AM57" s="24">
        <v>0</v>
      </c>
      <c r="AN57" s="26"/>
      <c r="AO57" s="24">
        <v>17</v>
      </c>
      <c r="AP57" s="25">
        <v>2.8903717578961645</v>
      </c>
      <c r="AQ57" s="24">
        <v>13</v>
      </c>
      <c r="AR57" s="25">
        <v>2.5649493574615367</v>
      </c>
      <c r="AS57" s="24">
        <v>37</v>
      </c>
      <c r="AT57" s="24">
        <v>27</v>
      </c>
      <c r="AU57" s="24">
        <v>38</v>
      </c>
      <c r="AV57" s="24">
        <v>7</v>
      </c>
      <c r="AW57" s="24">
        <v>2</v>
      </c>
      <c r="AX57" s="25">
        <v>0.69314718055994529</v>
      </c>
      <c r="AY57" s="24">
        <v>2</v>
      </c>
      <c r="AZ57" s="25">
        <v>0.69314718055994529</v>
      </c>
      <c r="BA57" s="26" t="s">
        <v>267</v>
      </c>
      <c r="BB57" s="29">
        <v>71.649000000000001</v>
      </c>
      <c r="BC57" s="29">
        <v>24.271999999999998</v>
      </c>
      <c r="BD57" s="30">
        <v>19.244</v>
      </c>
    </row>
    <row r="58" spans="1:56" x14ac:dyDescent="0.25">
      <c r="A58" s="79" t="s">
        <v>384</v>
      </c>
      <c r="B58" s="93">
        <v>3</v>
      </c>
      <c r="C58" s="86">
        <v>2</v>
      </c>
      <c r="D58" s="32">
        <v>2</v>
      </c>
      <c r="E58" s="32">
        <v>36</v>
      </c>
      <c r="F58" s="32">
        <v>0</v>
      </c>
      <c r="G58" s="32">
        <v>96</v>
      </c>
      <c r="H58" s="33">
        <v>1.62</v>
      </c>
      <c r="I58" s="32">
        <v>1</v>
      </c>
      <c r="J58" s="32">
        <v>0</v>
      </c>
      <c r="K58" s="32">
        <v>1</v>
      </c>
      <c r="L58" s="32">
        <v>15</v>
      </c>
      <c r="M58" s="32">
        <v>40</v>
      </c>
      <c r="N58" s="32">
        <v>27</v>
      </c>
      <c r="O58" s="34" t="s">
        <v>56</v>
      </c>
      <c r="P58" s="32">
        <v>3</v>
      </c>
      <c r="Q58" s="32">
        <v>1</v>
      </c>
      <c r="R58" s="34" t="s">
        <v>57</v>
      </c>
      <c r="S58" s="34" t="s">
        <v>57</v>
      </c>
      <c r="T58" s="35">
        <v>36.64</v>
      </c>
      <c r="U58" s="32">
        <v>0</v>
      </c>
      <c r="V58" s="122">
        <v>1</v>
      </c>
      <c r="W58" s="125" t="s">
        <v>385</v>
      </c>
      <c r="X58" s="34">
        <v>1120.5</v>
      </c>
      <c r="Y58" s="34"/>
      <c r="Z58" s="34" t="s">
        <v>386</v>
      </c>
      <c r="AA58" s="36">
        <v>42857</v>
      </c>
      <c r="AB58" s="32">
        <v>19</v>
      </c>
      <c r="AC58" s="34" t="s">
        <v>387</v>
      </c>
      <c r="AD58" s="32">
        <v>24</v>
      </c>
      <c r="AE58" s="34" t="s">
        <v>319</v>
      </c>
      <c r="AF58" s="32">
        <v>2016</v>
      </c>
      <c r="AG58" s="32">
        <v>35</v>
      </c>
      <c r="AH58" s="33">
        <v>1</v>
      </c>
      <c r="AI58" s="32">
        <v>0</v>
      </c>
      <c r="AJ58" s="34" t="s">
        <v>388</v>
      </c>
      <c r="AK58" s="32">
        <v>0</v>
      </c>
      <c r="AL58" s="32">
        <v>0</v>
      </c>
      <c r="AM58" s="32">
        <v>0</v>
      </c>
      <c r="AN58" s="34"/>
      <c r="AO58" s="32">
        <v>17</v>
      </c>
      <c r="AP58" s="33">
        <v>2.8903717578961645</v>
      </c>
      <c r="AQ58" s="32">
        <v>32</v>
      </c>
      <c r="AR58" s="33">
        <v>3.4657359027997265</v>
      </c>
      <c r="AS58" s="32">
        <v>29</v>
      </c>
      <c r="AT58" s="32">
        <v>21</v>
      </c>
      <c r="AU58" s="32">
        <v>23</v>
      </c>
      <c r="AV58" s="32">
        <v>7</v>
      </c>
      <c r="AW58" s="32">
        <v>3</v>
      </c>
      <c r="AX58" s="33">
        <v>1.0986122886681098</v>
      </c>
      <c r="AY58" s="32">
        <v>4</v>
      </c>
      <c r="AZ58" s="33">
        <v>1.3862943611198906</v>
      </c>
      <c r="BA58" s="34" t="s">
        <v>384</v>
      </c>
      <c r="BB58" s="37">
        <v>79.948999999999998</v>
      </c>
      <c r="BC58" s="37">
        <v>15.717000000000001</v>
      </c>
      <c r="BD58" s="38">
        <v>11.29</v>
      </c>
    </row>
    <row r="59" spans="1:56" x14ac:dyDescent="0.25">
      <c r="A59" s="77" t="s">
        <v>274</v>
      </c>
      <c r="B59" s="91">
        <v>2</v>
      </c>
      <c r="C59" s="84">
        <v>2</v>
      </c>
      <c r="D59" s="24">
        <v>1</v>
      </c>
      <c r="E59" s="24">
        <v>23</v>
      </c>
      <c r="F59" s="24">
        <v>1</v>
      </c>
      <c r="G59" s="24">
        <v>68</v>
      </c>
      <c r="H59" s="25">
        <v>1.8</v>
      </c>
      <c r="I59" s="24">
        <v>0</v>
      </c>
      <c r="J59" s="24">
        <v>1</v>
      </c>
      <c r="K59" s="24">
        <v>0</v>
      </c>
      <c r="L59" s="24">
        <v>0</v>
      </c>
      <c r="M59" s="24">
        <v>7</v>
      </c>
      <c r="N59" s="24">
        <v>5</v>
      </c>
      <c r="O59" s="26" t="s">
        <v>57</v>
      </c>
      <c r="P59" s="24">
        <v>0</v>
      </c>
      <c r="Q59" s="24">
        <v>1</v>
      </c>
      <c r="R59" s="26" t="s">
        <v>56</v>
      </c>
      <c r="S59" s="26" t="s">
        <v>57</v>
      </c>
      <c r="T59" s="27">
        <v>20.99</v>
      </c>
      <c r="U59" s="24">
        <v>1</v>
      </c>
      <c r="V59" s="120">
        <v>0</v>
      </c>
      <c r="W59" s="124" t="s">
        <v>247</v>
      </c>
      <c r="X59" s="26">
        <v>246.25</v>
      </c>
      <c r="Y59" s="26" t="s">
        <v>275</v>
      </c>
      <c r="Z59" s="26" t="s">
        <v>276</v>
      </c>
      <c r="AA59" s="28">
        <v>42857</v>
      </c>
      <c r="AB59" s="24">
        <v>6</v>
      </c>
      <c r="AC59" s="26"/>
      <c r="AD59" s="24">
        <v>0</v>
      </c>
      <c r="AE59" s="26"/>
      <c r="AF59" s="31" t="e">
        <v>#NULL!</v>
      </c>
      <c r="AG59" s="24">
        <v>23</v>
      </c>
      <c r="AH59" s="25">
        <v>0</v>
      </c>
      <c r="AI59" s="24">
        <v>0</v>
      </c>
      <c r="AJ59" s="26"/>
      <c r="AK59" s="24">
        <v>0</v>
      </c>
      <c r="AL59" s="24">
        <v>0</v>
      </c>
      <c r="AM59" s="24">
        <v>0</v>
      </c>
      <c r="AN59" s="26"/>
      <c r="AO59" s="24">
        <v>11</v>
      </c>
      <c r="AP59" s="25">
        <v>2.4849066497880004</v>
      </c>
      <c r="AQ59" s="24">
        <v>25</v>
      </c>
      <c r="AR59" s="25">
        <v>3.2188758248682006</v>
      </c>
      <c r="AS59" s="24">
        <v>33</v>
      </c>
      <c r="AT59" s="24">
        <v>37</v>
      </c>
      <c r="AU59" s="24">
        <v>28</v>
      </c>
      <c r="AV59" s="24">
        <v>12</v>
      </c>
      <c r="AW59" s="24">
        <v>3</v>
      </c>
      <c r="AX59" s="25">
        <v>1.0986122886681098</v>
      </c>
      <c r="AY59" s="24">
        <v>3</v>
      </c>
      <c r="AZ59" s="25">
        <v>1.0986122886681098</v>
      </c>
      <c r="BA59" s="26" t="s">
        <v>274</v>
      </c>
      <c r="BB59" s="29">
        <v>67.653000000000006</v>
      </c>
      <c r="BC59" s="29">
        <v>33.716000000000001</v>
      </c>
      <c r="BD59" s="30">
        <v>21.138999999999999</v>
      </c>
    </row>
    <row r="60" spans="1:56" x14ac:dyDescent="0.25">
      <c r="A60" s="77" t="s">
        <v>277</v>
      </c>
      <c r="B60" s="91">
        <v>2</v>
      </c>
      <c r="C60" s="84">
        <v>2</v>
      </c>
      <c r="D60" s="24">
        <v>1</v>
      </c>
      <c r="E60" s="24">
        <v>50</v>
      </c>
      <c r="F60" s="24">
        <v>1</v>
      </c>
      <c r="G60" s="24">
        <v>81</v>
      </c>
      <c r="H60" s="25">
        <v>1.76</v>
      </c>
      <c r="I60" s="24">
        <v>1</v>
      </c>
      <c r="J60" s="24">
        <v>0</v>
      </c>
      <c r="K60" s="24">
        <v>1</v>
      </c>
      <c r="L60" s="24">
        <v>25</v>
      </c>
      <c r="M60" s="24">
        <v>21</v>
      </c>
      <c r="N60" s="24">
        <v>17</v>
      </c>
      <c r="O60" s="26" t="s">
        <v>56</v>
      </c>
      <c r="P60" s="24">
        <v>7</v>
      </c>
      <c r="Q60" s="24">
        <v>0</v>
      </c>
      <c r="R60" s="26" t="s">
        <v>57</v>
      </c>
      <c r="S60" s="26" t="s">
        <v>57</v>
      </c>
      <c r="T60" s="27">
        <v>26.13</v>
      </c>
      <c r="U60" s="24">
        <v>1</v>
      </c>
      <c r="V60" s="120">
        <v>0</v>
      </c>
      <c r="W60" s="124" t="s">
        <v>278</v>
      </c>
      <c r="X60" s="26">
        <v>90</v>
      </c>
      <c r="Y60" s="26" t="s">
        <v>279</v>
      </c>
      <c r="Z60" s="26" t="s">
        <v>280</v>
      </c>
      <c r="AA60" s="28">
        <v>42858</v>
      </c>
      <c r="AB60" s="24">
        <v>175</v>
      </c>
      <c r="AC60" s="26" t="s">
        <v>281</v>
      </c>
      <c r="AD60" s="24">
        <v>32</v>
      </c>
      <c r="AE60" s="26" t="s">
        <v>282</v>
      </c>
      <c r="AF60" s="24">
        <v>2017</v>
      </c>
      <c r="AG60" s="24">
        <v>50</v>
      </c>
      <c r="AH60" s="25">
        <v>0</v>
      </c>
      <c r="AI60" s="24">
        <v>1</v>
      </c>
      <c r="AJ60" s="26"/>
      <c r="AK60" s="24">
        <v>3</v>
      </c>
      <c r="AL60" s="24">
        <v>0</v>
      </c>
      <c r="AM60" s="24">
        <v>0</v>
      </c>
      <c r="AN60" s="26" t="s">
        <v>283</v>
      </c>
      <c r="AO60" s="24">
        <v>19</v>
      </c>
      <c r="AP60" s="25">
        <v>2.9957322735539909</v>
      </c>
      <c r="AQ60" s="24">
        <v>32</v>
      </c>
      <c r="AR60" s="25">
        <v>3.4657359027997265</v>
      </c>
      <c r="AS60" s="24">
        <v>25</v>
      </c>
      <c r="AT60" s="24">
        <v>24</v>
      </c>
      <c r="AU60" s="24">
        <v>26</v>
      </c>
      <c r="AV60" s="24">
        <v>9</v>
      </c>
      <c r="AW60" s="24">
        <v>3</v>
      </c>
      <c r="AX60" s="25">
        <v>1.0986122886681098</v>
      </c>
      <c r="AY60" s="24">
        <v>5</v>
      </c>
      <c r="AZ60" s="25">
        <v>1.6094379124341003</v>
      </c>
      <c r="BA60" s="26" t="s">
        <v>277</v>
      </c>
      <c r="BB60" s="29">
        <v>56.896000000000001</v>
      </c>
      <c r="BC60" s="29">
        <v>36.527999999999999</v>
      </c>
      <c r="BD60" s="30">
        <v>24.291</v>
      </c>
    </row>
    <row r="61" spans="1:56" ht="15.75" thickBot="1" x14ac:dyDescent="0.3">
      <c r="A61" s="78" t="s">
        <v>284</v>
      </c>
      <c r="B61" s="92">
        <v>2</v>
      </c>
      <c r="C61" s="85">
        <v>2</v>
      </c>
      <c r="D61" s="67">
        <v>1</v>
      </c>
      <c r="E61" s="67">
        <v>22</v>
      </c>
      <c r="F61" s="67">
        <v>0</v>
      </c>
      <c r="G61" s="67">
        <v>65.400000000000006</v>
      </c>
      <c r="H61" s="68">
        <v>1.68</v>
      </c>
      <c r="I61" s="67">
        <v>0</v>
      </c>
      <c r="J61" s="67">
        <v>1</v>
      </c>
      <c r="K61" s="67">
        <v>0</v>
      </c>
      <c r="L61" s="67">
        <v>0</v>
      </c>
      <c r="M61" s="67">
        <v>19</v>
      </c>
      <c r="N61" s="67">
        <v>28</v>
      </c>
      <c r="O61" s="69" t="s">
        <v>56</v>
      </c>
      <c r="P61" s="67">
        <v>1</v>
      </c>
      <c r="Q61" s="67">
        <v>1</v>
      </c>
      <c r="R61" s="69" t="s">
        <v>56</v>
      </c>
      <c r="S61" s="69" t="s">
        <v>57</v>
      </c>
      <c r="T61" s="70">
        <v>23.05</v>
      </c>
      <c r="U61" s="67">
        <v>1</v>
      </c>
      <c r="V61" s="123">
        <v>0</v>
      </c>
      <c r="W61" s="124" t="s">
        <v>185</v>
      </c>
      <c r="X61" s="26">
        <v>4.5</v>
      </c>
      <c r="Y61" s="26" t="s">
        <v>62</v>
      </c>
      <c r="Z61" s="26" t="s">
        <v>285</v>
      </c>
      <c r="AA61" s="28">
        <v>42866</v>
      </c>
      <c r="AB61" s="24">
        <v>54</v>
      </c>
      <c r="AC61" s="26" t="s">
        <v>235</v>
      </c>
      <c r="AD61" s="24">
        <v>20</v>
      </c>
      <c r="AE61" s="26" t="s">
        <v>286</v>
      </c>
      <c r="AF61" s="24">
        <v>2017</v>
      </c>
      <c r="AG61" s="24">
        <v>22</v>
      </c>
      <c r="AH61" s="25">
        <v>0</v>
      </c>
      <c r="AI61" s="24">
        <v>0</v>
      </c>
      <c r="AJ61" s="26" t="s">
        <v>287</v>
      </c>
      <c r="AK61" s="24">
        <v>0</v>
      </c>
      <c r="AL61" s="24">
        <v>0</v>
      </c>
      <c r="AM61" s="24">
        <v>0</v>
      </c>
      <c r="AN61" s="26"/>
      <c r="AO61" s="24">
        <v>35</v>
      </c>
      <c r="AP61" s="25">
        <v>3.5835189384561099</v>
      </c>
      <c r="AQ61" s="24">
        <v>30</v>
      </c>
      <c r="AR61" s="25">
        <v>3.4011973816621555</v>
      </c>
      <c r="AS61" s="24">
        <v>21</v>
      </c>
      <c r="AT61" s="24">
        <v>32</v>
      </c>
      <c r="AU61" s="24">
        <v>19</v>
      </c>
      <c r="AV61" s="24">
        <v>16</v>
      </c>
      <c r="AW61" s="24">
        <v>4</v>
      </c>
      <c r="AX61" s="25">
        <v>1.3862943611198906</v>
      </c>
      <c r="AY61" s="24">
        <v>5</v>
      </c>
      <c r="AZ61" s="25">
        <v>1.6094379124341003</v>
      </c>
      <c r="BA61" s="26" t="s">
        <v>284</v>
      </c>
      <c r="BB61" s="29">
        <v>61.783000000000001</v>
      </c>
      <c r="BC61" s="29">
        <v>29.948</v>
      </c>
      <c r="BD61" s="30">
        <v>31.9</v>
      </c>
    </row>
    <row r="62" spans="1:56" x14ac:dyDescent="0.25">
      <c r="A62" s="96" t="s">
        <v>137</v>
      </c>
      <c r="B62" s="99">
        <v>0</v>
      </c>
      <c r="C62" s="102">
        <v>0</v>
      </c>
      <c r="D62" s="105">
        <v>0</v>
      </c>
      <c r="E62" s="105">
        <v>22</v>
      </c>
      <c r="F62" s="105">
        <v>0</v>
      </c>
      <c r="G62" s="105">
        <v>96</v>
      </c>
      <c r="H62" s="108">
        <v>1.66</v>
      </c>
      <c r="I62" s="105">
        <v>0</v>
      </c>
      <c r="J62" s="105">
        <v>1</v>
      </c>
      <c r="K62" s="105">
        <v>1</v>
      </c>
      <c r="L62" s="105">
        <v>20</v>
      </c>
      <c r="M62" s="111" t="e">
        <v>#NULL!</v>
      </c>
      <c r="N62" s="111" t="e">
        <v>#NULL!</v>
      </c>
      <c r="O62" s="113" t="s">
        <v>56</v>
      </c>
      <c r="P62" s="105">
        <v>1</v>
      </c>
      <c r="Q62" s="105">
        <v>0</v>
      </c>
      <c r="R62" s="113" t="s">
        <v>56</v>
      </c>
      <c r="S62" s="113" t="s">
        <v>57</v>
      </c>
      <c r="T62" s="116">
        <v>34.838147771810135</v>
      </c>
      <c r="U62" s="111" t="e">
        <v>#NULL!</v>
      </c>
      <c r="V62" s="111" t="e">
        <v>#NULL!</v>
      </c>
      <c r="W62" s="4"/>
      <c r="X62" s="4"/>
      <c r="Y62" s="4"/>
      <c r="Z62" s="4"/>
      <c r="AA62" s="4" t="s">
        <v>59</v>
      </c>
      <c r="AB62" s="5" t="e">
        <v>#NULL!</v>
      </c>
      <c r="AC62" s="4"/>
      <c r="AD62" s="5" t="e">
        <v>#NULL!</v>
      </c>
      <c r="AE62" s="4"/>
      <c r="AF62" s="5" t="e">
        <v>#NULL!</v>
      </c>
      <c r="AG62" s="5" t="e">
        <v>#NULL!</v>
      </c>
      <c r="AH62" s="5" t="e">
        <v>#NULL!</v>
      </c>
      <c r="AI62" s="5" t="e">
        <v>#NULL!</v>
      </c>
      <c r="AJ62" s="4"/>
      <c r="AK62" s="5" t="e">
        <v>#NULL!</v>
      </c>
      <c r="AL62" s="5" t="e">
        <v>#NULL!</v>
      </c>
      <c r="AM62" s="5" t="e">
        <v>#NULL!</v>
      </c>
      <c r="AN62" s="4"/>
      <c r="AO62" s="2">
        <v>14</v>
      </c>
      <c r="AP62" s="3">
        <v>2.7080502011022101</v>
      </c>
      <c r="AQ62" s="5" t="e">
        <v>#NULL!</v>
      </c>
      <c r="AR62" s="5" t="e">
        <v>#NULL!</v>
      </c>
      <c r="AS62" s="5" t="e">
        <v>#NULL!</v>
      </c>
      <c r="AT62" s="5" t="e">
        <v>#NULL!</v>
      </c>
      <c r="AU62" s="5" t="e">
        <v>#NULL!</v>
      </c>
      <c r="AV62" s="5" t="e">
        <v>#NULL!</v>
      </c>
      <c r="AW62" s="5" t="e">
        <v>#NULL!</v>
      </c>
      <c r="AX62" s="5" t="e">
        <v>#NULL!</v>
      </c>
      <c r="AY62" s="5" t="e">
        <v>#NULL!</v>
      </c>
      <c r="AZ62" s="5" t="e">
        <v>#NULL!</v>
      </c>
      <c r="BA62" s="4" t="s">
        <v>137</v>
      </c>
      <c r="BB62" s="6">
        <v>58.148000000000003</v>
      </c>
      <c r="BC62" s="6">
        <v>72.326999999999998</v>
      </c>
      <c r="BD62" s="7">
        <v>74.521000000000001</v>
      </c>
    </row>
    <row r="63" spans="1:56" x14ac:dyDescent="0.25">
      <c r="A63" s="74" t="s">
        <v>138</v>
      </c>
      <c r="B63" s="88">
        <v>0</v>
      </c>
      <c r="C63" s="81">
        <v>0</v>
      </c>
      <c r="D63" s="14">
        <v>0</v>
      </c>
      <c r="E63" s="14">
        <v>21</v>
      </c>
      <c r="F63" s="14">
        <v>0</v>
      </c>
      <c r="G63" s="14">
        <v>57</v>
      </c>
      <c r="H63" s="15">
        <v>1.75</v>
      </c>
      <c r="I63" s="14">
        <v>0</v>
      </c>
      <c r="J63" s="14">
        <v>1</v>
      </c>
      <c r="K63" s="14">
        <v>0</v>
      </c>
      <c r="L63" s="14">
        <v>0</v>
      </c>
      <c r="M63" s="18" t="e">
        <v>#NULL!</v>
      </c>
      <c r="N63" s="18" t="e">
        <v>#NULL!</v>
      </c>
      <c r="O63" s="16" t="s">
        <v>56</v>
      </c>
      <c r="P63" s="14">
        <v>1</v>
      </c>
      <c r="Q63" s="14">
        <v>0.5</v>
      </c>
      <c r="R63" s="16" t="s">
        <v>57</v>
      </c>
      <c r="S63" s="16" t="s">
        <v>57</v>
      </c>
      <c r="T63" s="17">
        <v>18.612244897959183</v>
      </c>
      <c r="U63" s="18" t="e">
        <v>#NULL!</v>
      </c>
      <c r="V63" s="18" t="e">
        <v>#NULL!</v>
      </c>
      <c r="W63" s="4"/>
      <c r="X63" s="4"/>
      <c r="Y63" s="4"/>
      <c r="Z63" s="4"/>
      <c r="AA63" s="4" t="s">
        <v>59</v>
      </c>
      <c r="AB63" s="5" t="e">
        <v>#NULL!</v>
      </c>
      <c r="AC63" s="4"/>
      <c r="AD63" s="5" t="e">
        <v>#NULL!</v>
      </c>
      <c r="AE63" s="4"/>
      <c r="AF63" s="5" t="e">
        <v>#NULL!</v>
      </c>
      <c r="AG63" s="5" t="e">
        <v>#NULL!</v>
      </c>
      <c r="AH63" s="5" t="e">
        <v>#NULL!</v>
      </c>
      <c r="AI63" s="5" t="e">
        <v>#NULL!</v>
      </c>
      <c r="AJ63" s="4"/>
      <c r="AK63" s="5" t="e">
        <v>#NULL!</v>
      </c>
      <c r="AL63" s="5" t="e">
        <v>#NULL!</v>
      </c>
      <c r="AM63" s="5" t="e">
        <v>#NULL!</v>
      </c>
      <c r="AN63" s="4"/>
      <c r="AO63" s="2">
        <v>0</v>
      </c>
      <c r="AP63" s="3">
        <v>0</v>
      </c>
      <c r="AQ63" s="5" t="e">
        <v>#NULL!</v>
      </c>
      <c r="AR63" s="5" t="e">
        <v>#NULL!</v>
      </c>
      <c r="AS63" s="5" t="e">
        <v>#NULL!</v>
      </c>
      <c r="AT63" s="5" t="e">
        <v>#NULL!</v>
      </c>
      <c r="AU63" s="5" t="e">
        <v>#NULL!</v>
      </c>
      <c r="AV63" s="5" t="e">
        <v>#NULL!</v>
      </c>
      <c r="AW63" s="5" t="e">
        <v>#NULL!</v>
      </c>
      <c r="AX63" s="5" t="e">
        <v>#NULL!</v>
      </c>
      <c r="AY63" s="5" t="e">
        <v>#NULL!</v>
      </c>
      <c r="AZ63" s="5" t="e">
        <v>#NULL!</v>
      </c>
      <c r="BA63" s="4" t="s">
        <v>138</v>
      </c>
      <c r="BB63" s="6">
        <v>63.652999999999999</v>
      </c>
      <c r="BC63" s="6">
        <v>63.572000000000003</v>
      </c>
      <c r="BD63" s="7">
        <v>56.392000000000003</v>
      </c>
    </row>
    <row r="64" spans="1:56" x14ac:dyDescent="0.25">
      <c r="A64" s="74" t="s">
        <v>139</v>
      </c>
      <c r="B64" s="88">
        <v>0</v>
      </c>
      <c r="C64" s="81">
        <v>0</v>
      </c>
      <c r="D64" s="14">
        <v>0</v>
      </c>
      <c r="E64" s="14">
        <v>27</v>
      </c>
      <c r="F64" s="14">
        <v>0</v>
      </c>
      <c r="G64" s="14">
        <v>49</v>
      </c>
      <c r="H64" s="15">
        <v>1.59</v>
      </c>
      <c r="I64" s="14">
        <v>0</v>
      </c>
      <c r="J64" s="14">
        <v>1</v>
      </c>
      <c r="K64" s="14">
        <v>0</v>
      </c>
      <c r="L64" s="14">
        <v>0</v>
      </c>
      <c r="M64" s="18" t="e">
        <v>#NULL!</v>
      </c>
      <c r="N64" s="18" t="e">
        <v>#NULL!</v>
      </c>
      <c r="O64" s="16" t="s">
        <v>56</v>
      </c>
      <c r="P64" s="14">
        <v>4</v>
      </c>
      <c r="Q64" s="14">
        <v>1</v>
      </c>
      <c r="R64" s="16" t="s">
        <v>56</v>
      </c>
      <c r="S64" s="16" t="s">
        <v>57</v>
      </c>
      <c r="T64" s="17">
        <v>19.382144693643447</v>
      </c>
      <c r="U64" s="18" t="e">
        <v>#NULL!</v>
      </c>
      <c r="V64" s="18" t="e">
        <v>#NULL!</v>
      </c>
      <c r="W64" s="4"/>
      <c r="X64" s="4"/>
      <c r="Y64" s="4"/>
      <c r="Z64" s="4"/>
      <c r="AA64" s="4" t="s">
        <v>59</v>
      </c>
      <c r="AB64" s="5" t="e">
        <v>#NULL!</v>
      </c>
      <c r="AC64" s="4"/>
      <c r="AD64" s="5" t="e">
        <v>#NULL!</v>
      </c>
      <c r="AE64" s="4"/>
      <c r="AF64" s="5" t="e">
        <v>#NULL!</v>
      </c>
      <c r="AG64" s="5" t="e">
        <v>#NULL!</v>
      </c>
      <c r="AH64" s="5" t="e">
        <v>#NULL!</v>
      </c>
      <c r="AI64" s="5" t="e">
        <v>#NULL!</v>
      </c>
      <c r="AJ64" s="4"/>
      <c r="AK64" s="2">
        <v>2</v>
      </c>
      <c r="AL64" s="2">
        <v>1.75</v>
      </c>
      <c r="AM64" s="2">
        <v>1.25</v>
      </c>
      <c r="AN64" s="4"/>
      <c r="AO64" s="2">
        <v>3</v>
      </c>
      <c r="AP64" s="3">
        <v>1.3862943611198906</v>
      </c>
      <c r="AQ64" s="5" t="e">
        <v>#NULL!</v>
      </c>
      <c r="AR64" s="5" t="e">
        <v>#NULL!</v>
      </c>
      <c r="AS64" s="5" t="e">
        <v>#NULL!</v>
      </c>
      <c r="AT64" s="5" t="e">
        <v>#NULL!</v>
      </c>
      <c r="AU64" s="5" t="e">
        <v>#NULL!</v>
      </c>
      <c r="AV64" s="5" t="e">
        <v>#NULL!</v>
      </c>
      <c r="AW64" s="5" t="e">
        <v>#NULL!</v>
      </c>
      <c r="AX64" s="5" t="e">
        <v>#NULL!</v>
      </c>
      <c r="AY64" s="5" t="e">
        <v>#NULL!</v>
      </c>
      <c r="AZ64" s="5" t="e">
        <v>#NULL!</v>
      </c>
      <c r="BA64" s="4" t="s">
        <v>139</v>
      </c>
      <c r="BB64" s="6">
        <v>67.891000000000005</v>
      </c>
      <c r="BC64" s="6">
        <v>42.307000000000002</v>
      </c>
      <c r="BD64" s="7">
        <v>34.323999999999998</v>
      </c>
    </row>
    <row r="65" spans="1:56" x14ac:dyDescent="0.25">
      <c r="A65" s="74" t="s">
        <v>149</v>
      </c>
      <c r="B65" s="88">
        <v>0</v>
      </c>
      <c r="C65" s="81">
        <v>0</v>
      </c>
      <c r="D65" s="14">
        <v>0</v>
      </c>
      <c r="E65" s="14">
        <v>46</v>
      </c>
      <c r="F65" s="14">
        <v>1</v>
      </c>
      <c r="G65" s="14">
        <v>85</v>
      </c>
      <c r="H65" s="15">
        <v>1.75</v>
      </c>
      <c r="I65" s="14">
        <v>0</v>
      </c>
      <c r="J65" s="14">
        <v>1</v>
      </c>
      <c r="K65" s="14">
        <v>1</v>
      </c>
      <c r="L65" s="14">
        <v>10</v>
      </c>
      <c r="M65" s="18" t="e">
        <v>#NULL!</v>
      </c>
      <c r="N65" s="18" t="e">
        <v>#NULL!</v>
      </c>
      <c r="O65" s="16" t="s">
        <v>56</v>
      </c>
      <c r="P65" s="14">
        <v>5</v>
      </c>
      <c r="Q65" s="14">
        <v>1</v>
      </c>
      <c r="R65" s="16" t="s">
        <v>57</v>
      </c>
      <c r="S65" s="16" t="s">
        <v>57</v>
      </c>
      <c r="T65" s="17">
        <v>27.755102040816325</v>
      </c>
      <c r="U65" s="18" t="e">
        <v>#NULL!</v>
      </c>
      <c r="V65" s="18" t="e">
        <v>#NULL!</v>
      </c>
      <c r="W65" s="4"/>
      <c r="X65" s="4"/>
      <c r="Y65" s="4"/>
      <c r="Z65" s="4"/>
      <c r="AA65" s="4" t="s">
        <v>59</v>
      </c>
      <c r="AB65" s="5" t="e">
        <v>#NULL!</v>
      </c>
      <c r="AC65" s="4"/>
      <c r="AD65" s="5" t="e">
        <v>#NULL!</v>
      </c>
      <c r="AE65" s="4"/>
      <c r="AF65" s="5" t="e">
        <v>#NULL!</v>
      </c>
      <c r="AG65" s="5" t="e">
        <v>#NULL!</v>
      </c>
      <c r="AH65" s="5" t="e">
        <v>#NULL!</v>
      </c>
      <c r="AI65" s="5" t="e">
        <v>#NULL!</v>
      </c>
      <c r="AJ65" s="4"/>
      <c r="AK65" s="2">
        <v>1</v>
      </c>
      <c r="AL65" s="2">
        <v>-6</v>
      </c>
      <c r="AM65" s="2">
        <v>-5</v>
      </c>
      <c r="AN65" s="4"/>
      <c r="AO65" s="2">
        <v>7</v>
      </c>
      <c r="AP65" s="3">
        <v>2.0794415416798357</v>
      </c>
      <c r="AQ65" s="5" t="e">
        <v>#NULL!</v>
      </c>
      <c r="AR65" s="5" t="e">
        <v>#NULL!</v>
      </c>
      <c r="AS65" s="5" t="e">
        <v>#NULL!</v>
      </c>
      <c r="AT65" s="5" t="e">
        <v>#NULL!</v>
      </c>
      <c r="AU65" s="5" t="e">
        <v>#NULL!</v>
      </c>
      <c r="AV65" s="5" t="e">
        <v>#NULL!</v>
      </c>
      <c r="AW65" s="5" t="e">
        <v>#NULL!</v>
      </c>
      <c r="AX65" s="5" t="e">
        <v>#NULL!</v>
      </c>
      <c r="AY65" s="5" t="e">
        <v>#NULL!</v>
      </c>
      <c r="AZ65" s="5" t="e">
        <v>#NULL!</v>
      </c>
      <c r="BA65" s="4" t="s">
        <v>149</v>
      </c>
      <c r="BB65" s="6">
        <v>78.754000000000005</v>
      </c>
      <c r="BC65" s="6">
        <v>25.85</v>
      </c>
      <c r="BD65" s="7">
        <v>12.260999999999999</v>
      </c>
    </row>
    <row r="66" spans="1:56" x14ac:dyDescent="0.25">
      <c r="A66" s="74" t="s">
        <v>150</v>
      </c>
      <c r="B66" s="88">
        <v>0</v>
      </c>
      <c r="C66" s="81">
        <v>0</v>
      </c>
      <c r="D66" s="14">
        <v>0</v>
      </c>
      <c r="E66" s="14">
        <v>44</v>
      </c>
      <c r="F66" s="14">
        <v>0</v>
      </c>
      <c r="G66" s="14">
        <v>67</v>
      </c>
      <c r="H66" s="15">
        <v>1.67</v>
      </c>
      <c r="I66" s="14">
        <v>1</v>
      </c>
      <c r="J66" s="14">
        <v>0</v>
      </c>
      <c r="K66" s="14">
        <v>0</v>
      </c>
      <c r="L66" s="14">
        <v>0</v>
      </c>
      <c r="M66" s="18" t="e">
        <v>#NULL!</v>
      </c>
      <c r="N66" s="18" t="e">
        <v>#NULL!</v>
      </c>
      <c r="O66" s="16" t="s">
        <v>56</v>
      </c>
      <c r="P66" s="14">
        <v>4</v>
      </c>
      <c r="Q66" s="14">
        <v>1</v>
      </c>
      <c r="R66" s="16" t="s">
        <v>57</v>
      </c>
      <c r="S66" s="16" t="s">
        <v>57</v>
      </c>
      <c r="T66" s="17">
        <v>24.023808670084982</v>
      </c>
      <c r="U66" s="18" t="e">
        <v>#NULL!</v>
      </c>
      <c r="V66" s="18" t="e">
        <v>#NULL!</v>
      </c>
      <c r="W66" s="4"/>
      <c r="X66" s="4"/>
      <c r="Y66" s="4"/>
      <c r="Z66" s="4"/>
      <c r="AA66" s="4" t="s">
        <v>59</v>
      </c>
      <c r="AB66" s="5" t="e">
        <v>#NULL!</v>
      </c>
      <c r="AC66" s="4"/>
      <c r="AD66" s="5" t="e">
        <v>#NULL!</v>
      </c>
      <c r="AE66" s="4"/>
      <c r="AF66" s="5" t="e">
        <v>#NULL!</v>
      </c>
      <c r="AG66" s="5" t="e">
        <v>#NULL!</v>
      </c>
      <c r="AH66" s="5" t="e">
        <v>#NULL!</v>
      </c>
      <c r="AI66" s="5" t="e">
        <v>#NULL!</v>
      </c>
      <c r="AJ66" s="4"/>
      <c r="AK66" s="2">
        <v>2</v>
      </c>
      <c r="AL66" s="2">
        <v>2.5</v>
      </c>
      <c r="AM66" s="2">
        <v>2.5</v>
      </c>
      <c r="AN66" s="4"/>
      <c r="AO66" s="2">
        <v>2</v>
      </c>
      <c r="AP66" s="3">
        <v>1.0986122886681098</v>
      </c>
      <c r="AQ66" s="5" t="e">
        <v>#NULL!</v>
      </c>
      <c r="AR66" s="5" t="e">
        <v>#NULL!</v>
      </c>
      <c r="AS66" s="5" t="e">
        <v>#NULL!</v>
      </c>
      <c r="AT66" s="5" t="e">
        <v>#NULL!</v>
      </c>
      <c r="AU66" s="5" t="e">
        <v>#NULL!</v>
      </c>
      <c r="AV66" s="5" t="e">
        <v>#NULL!</v>
      </c>
      <c r="AW66" s="5" t="e">
        <v>#NULL!</v>
      </c>
      <c r="AX66" s="5" t="e">
        <v>#NULL!</v>
      </c>
      <c r="AY66" s="5" t="e">
        <v>#NULL!</v>
      </c>
      <c r="AZ66" s="5" t="e">
        <v>#NULL!</v>
      </c>
      <c r="BA66" s="4" t="s">
        <v>150</v>
      </c>
      <c r="BB66" s="6">
        <v>59.29</v>
      </c>
      <c r="BC66" s="6">
        <v>47.884999999999998</v>
      </c>
      <c r="BD66" s="7">
        <v>37.253</v>
      </c>
    </row>
    <row r="67" spans="1:56" x14ac:dyDescent="0.25">
      <c r="A67" s="74" t="s">
        <v>151</v>
      </c>
      <c r="B67" s="88">
        <v>0</v>
      </c>
      <c r="C67" s="81">
        <v>0</v>
      </c>
      <c r="D67" s="14">
        <v>0</v>
      </c>
      <c r="E67" s="14">
        <v>46</v>
      </c>
      <c r="F67" s="14">
        <v>1</v>
      </c>
      <c r="G67" s="14">
        <v>74</v>
      </c>
      <c r="H67" s="15">
        <v>1.8</v>
      </c>
      <c r="I67" s="14">
        <v>0</v>
      </c>
      <c r="J67" s="14">
        <v>1</v>
      </c>
      <c r="K67" s="14">
        <v>0</v>
      </c>
      <c r="L67" s="14">
        <v>0</v>
      </c>
      <c r="M67" s="18" t="e">
        <v>#NULL!</v>
      </c>
      <c r="N67" s="18" t="e">
        <v>#NULL!</v>
      </c>
      <c r="O67" s="16" t="s">
        <v>56</v>
      </c>
      <c r="P67" s="14">
        <v>2</v>
      </c>
      <c r="Q67" s="14">
        <v>1</v>
      </c>
      <c r="R67" s="16" t="s">
        <v>57</v>
      </c>
      <c r="S67" s="16" t="s">
        <v>57</v>
      </c>
      <c r="T67" s="17">
        <v>22.839506172839506</v>
      </c>
      <c r="U67" s="18" t="e">
        <v>#NULL!</v>
      </c>
      <c r="V67" s="18" t="e">
        <v>#NULL!</v>
      </c>
      <c r="W67" s="4"/>
      <c r="X67" s="4"/>
      <c r="Y67" s="4"/>
      <c r="Z67" s="4"/>
      <c r="AA67" s="4" t="s">
        <v>59</v>
      </c>
      <c r="AB67" s="5" t="e">
        <v>#NULL!</v>
      </c>
      <c r="AC67" s="4"/>
      <c r="AD67" s="5" t="e">
        <v>#NULL!</v>
      </c>
      <c r="AE67" s="4"/>
      <c r="AF67" s="5" t="e">
        <v>#NULL!</v>
      </c>
      <c r="AG67" s="5" t="e">
        <v>#NULL!</v>
      </c>
      <c r="AH67" s="5" t="e">
        <v>#NULL!</v>
      </c>
      <c r="AI67" s="5" t="e">
        <v>#NULL!</v>
      </c>
      <c r="AJ67" s="4"/>
      <c r="AK67" s="2">
        <v>0</v>
      </c>
      <c r="AL67" s="2">
        <v>0</v>
      </c>
      <c r="AM67" s="2">
        <v>0</v>
      </c>
      <c r="AN67" s="4"/>
      <c r="AO67" s="2">
        <v>1</v>
      </c>
      <c r="AP67" s="3">
        <v>0.69314718055994529</v>
      </c>
      <c r="AQ67" s="5" t="e">
        <v>#NULL!</v>
      </c>
      <c r="AR67" s="5" t="e">
        <v>#NULL!</v>
      </c>
      <c r="AS67" s="5" t="e">
        <v>#NULL!</v>
      </c>
      <c r="AT67" s="5" t="e">
        <v>#NULL!</v>
      </c>
      <c r="AU67" s="5" t="e">
        <v>#NULL!</v>
      </c>
      <c r="AV67" s="5" t="e">
        <v>#NULL!</v>
      </c>
      <c r="AW67" s="5" t="e">
        <v>#NULL!</v>
      </c>
      <c r="AX67" s="5" t="e">
        <v>#NULL!</v>
      </c>
      <c r="AY67" s="5" t="e">
        <v>#NULL!</v>
      </c>
      <c r="AZ67" s="5" t="e">
        <v>#NULL!</v>
      </c>
      <c r="BA67" s="4" t="s">
        <v>151</v>
      </c>
      <c r="BB67" s="6">
        <v>61.957999999999998</v>
      </c>
      <c r="BC67" s="6">
        <v>56.859000000000002</v>
      </c>
      <c r="BD67" s="7">
        <v>63.859000000000002</v>
      </c>
    </row>
    <row r="68" spans="1:56" x14ac:dyDescent="0.25">
      <c r="A68" s="74" t="s">
        <v>152</v>
      </c>
      <c r="B68" s="88">
        <v>0</v>
      </c>
      <c r="C68" s="81">
        <v>0</v>
      </c>
      <c r="D68" s="14">
        <v>0</v>
      </c>
      <c r="E68" s="14">
        <v>42</v>
      </c>
      <c r="F68" s="14">
        <v>0</v>
      </c>
      <c r="G68" s="14">
        <v>70</v>
      </c>
      <c r="H68" s="15">
        <v>1.59</v>
      </c>
      <c r="I68" s="14">
        <v>0</v>
      </c>
      <c r="J68" s="14">
        <v>1</v>
      </c>
      <c r="K68" s="14">
        <v>0</v>
      </c>
      <c r="L68" s="14">
        <v>0</v>
      </c>
      <c r="M68" s="18" t="e">
        <v>#NULL!</v>
      </c>
      <c r="N68" s="18" t="e">
        <v>#NULL!</v>
      </c>
      <c r="O68" s="16" t="s">
        <v>56</v>
      </c>
      <c r="P68" s="14">
        <v>1</v>
      </c>
      <c r="Q68" s="14">
        <v>1</v>
      </c>
      <c r="R68" s="16" t="s">
        <v>57</v>
      </c>
      <c r="S68" s="16" t="s">
        <v>57</v>
      </c>
      <c r="T68" s="17">
        <v>27.688778133776353</v>
      </c>
      <c r="U68" s="18" t="e">
        <v>#NULL!</v>
      </c>
      <c r="V68" s="18" t="e">
        <v>#NULL!</v>
      </c>
      <c r="W68" s="4"/>
      <c r="X68" s="4"/>
      <c r="Y68" s="4"/>
      <c r="Z68" s="4"/>
      <c r="AA68" s="4" t="s">
        <v>59</v>
      </c>
      <c r="AB68" s="5" t="e">
        <v>#NULL!</v>
      </c>
      <c r="AC68" s="4"/>
      <c r="AD68" s="5" t="e">
        <v>#NULL!</v>
      </c>
      <c r="AE68" s="4"/>
      <c r="AF68" s="5" t="e">
        <v>#NULL!</v>
      </c>
      <c r="AG68" s="5" t="e">
        <v>#NULL!</v>
      </c>
      <c r="AH68" s="5" t="e">
        <v>#NULL!</v>
      </c>
      <c r="AI68" s="5" t="e">
        <v>#NULL!</v>
      </c>
      <c r="AJ68" s="4"/>
      <c r="AK68" s="5" t="e">
        <v>#NULL!</v>
      </c>
      <c r="AL68" s="5" t="e">
        <v>#NULL!</v>
      </c>
      <c r="AM68" s="5" t="e">
        <v>#NULL!</v>
      </c>
      <c r="AN68" s="4"/>
      <c r="AO68" s="2">
        <v>2</v>
      </c>
      <c r="AP68" s="3">
        <v>1.0986122886681098</v>
      </c>
      <c r="AQ68" s="5" t="e">
        <v>#NULL!</v>
      </c>
      <c r="AR68" s="5" t="e">
        <v>#NULL!</v>
      </c>
      <c r="AS68" s="5" t="e">
        <v>#NULL!</v>
      </c>
      <c r="AT68" s="5" t="e">
        <v>#NULL!</v>
      </c>
      <c r="AU68" s="5" t="e">
        <v>#NULL!</v>
      </c>
      <c r="AV68" s="5" t="e">
        <v>#NULL!</v>
      </c>
      <c r="AW68" s="5" t="e">
        <v>#NULL!</v>
      </c>
      <c r="AX68" s="5" t="e">
        <v>#NULL!</v>
      </c>
      <c r="AY68" s="5" t="e">
        <v>#NULL!</v>
      </c>
      <c r="AZ68" s="5" t="e">
        <v>#NULL!</v>
      </c>
      <c r="BA68" s="4" t="s">
        <v>152</v>
      </c>
      <c r="BB68" s="6">
        <v>69.070999999999998</v>
      </c>
      <c r="BC68" s="6">
        <v>72.206999999999994</v>
      </c>
      <c r="BD68" s="7">
        <v>69.760000000000005</v>
      </c>
    </row>
    <row r="69" spans="1:56" x14ac:dyDescent="0.25">
      <c r="A69" s="74" t="s">
        <v>153</v>
      </c>
      <c r="B69" s="88">
        <v>0</v>
      </c>
      <c r="C69" s="81">
        <v>0</v>
      </c>
      <c r="D69" s="14">
        <v>0</v>
      </c>
      <c r="E69" s="14">
        <v>46</v>
      </c>
      <c r="F69" s="14">
        <v>1</v>
      </c>
      <c r="G69" s="14">
        <v>75</v>
      </c>
      <c r="H69" s="15">
        <v>1.78</v>
      </c>
      <c r="I69" s="14">
        <v>1</v>
      </c>
      <c r="J69" s="14">
        <v>0</v>
      </c>
      <c r="K69" s="14">
        <v>0</v>
      </c>
      <c r="L69" s="14">
        <v>0</v>
      </c>
      <c r="M69" s="18" t="e">
        <v>#NULL!</v>
      </c>
      <c r="N69" s="18" t="e">
        <v>#NULL!</v>
      </c>
      <c r="O69" s="16" t="s">
        <v>56</v>
      </c>
      <c r="P69" s="14">
        <v>2</v>
      </c>
      <c r="Q69" s="14">
        <v>1</v>
      </c>
      <c r="R69" s="16" t="s">
        <v>57</v>
      </c>
      <c r="S69" s="16" t="s">
        <v>57</v>
      </c>
      <c r="T69" s="17">
        <v>23.671253629592222</v>
      </c>
      <c r="U69" s="18" t="e">
        <v>#NULL!</v>
      </c>
      <c r="V69" s="18" t="e">
        <v>#NULL!</v>
      </c>
      <c r="W69" s="4"/>
      <c r="X69" s="4"/>
      <c r="Y69" s="4"/>
      <c r="Z69" s="4"/>
      <c r="AA69" s="4" t="s">
        <v>59</v>
      </c>
      <c r="AB69" s="5" t="e">
        <v>#NULL!</v>
      </c>
      <c r="AC69" s="4"/>
      <c r="AD69" s="5" t="e">
        <v>#NULL!</v>
      </c>
      <c r="AE69" s="4"/>
      <c r="AF69" s="5" t="e">
        <v>#NULL!</v>
      </c>
      <c r="AG69" s="5" t="e">
        <v>#NULL!</v>
      </c>
      <c r="AH69" s="5" t="e">
        <v>#NULL!</v>
      </c>
      <c r="AI69" s="5" t="e">
        <v>#NULL!</v>
      </c>
      <c r="AJ69" s="4"/>
      <c r="AK69" s="2">
        <v>0</v>
      </c>
      <c r="AL69" s="2">
        <v>0</v>
      </c>
      <c r="AM69" s="2">
        <v>0</v>
      </c>
      <c r="AN69" s="4"/>
      <c r="AO69" s="2">
        <v>10</v>
      </c>
      <c r="AP69" s="3">
        <v>2.3978952727983707</v>
      </c>
      <c r="AQ69" s="5" t="e">
        <v>#NULL!</v>
      </c>
      <c r="AR69" s="5" t="e">
        <v>#NULL!</v>
      </c>
      <c r="AS69" s="5" t="e">
        <v>#NULL!</v>
      </c>
      <c r="AT69" s="5" t="e">
        <v>#NULL!</v>
      </c>
      <c r="AU69" s="5" t="e">
        <v>#NULL!</v>
      </c>
      <c r="AV69" s="5" t="e">
        <v>#NULL!</v>
      </c>
      <c r="AW69" s="5" t="e">
        <v>#NULL!</v>
      </c>
      <c r="AX69" s="5" t="e">
        <v>#NULL!</v>
      </c>
      <c r="AY69" s="5" t="e">
        <v>#NULL!</v>
      </c>
      <c r="AZ69" s="5" t="e">
        <v>#NULL!</v>
      </c>
      <c r="BA69" s="4" t="s">
        <v>153</v>
      </c>
      <c r="BB69" s="6">
        <v>62.207999999999998</v>
      </c>
      <c r="BC69" s="6">
        <v>58.968000000000004</v>
      </c>
      <c r="BD69" s="7">
        <v>64.831999999999994</v>
      </c>
    </row>
    <row r="70" spans="1:56" x14ac:dyDescent="0.25">
      <c r="A70" s="74" t="s">
        <v>154</v>
      </c>
      <c r="B70" s="88">
        <v>0</v>
      </c>
      <c r="C70" s="81">
        <v>0</v>
      </c>
      <c r="D70" s="14">
        <v>0</v>
      </c>
      <c r="E70" s="14">
        <v>37</v>
      </c>
      <c r="F70" s="14">
        <v>0</v>
      </c>
      <c r="G70" s="14">
        <v>67</v>
      </c>
      <c r="H70" s="15">
        <v>1.81</v>
      </c>
      <c r="I70" s="14">
        <v>0</v>
      </c>
      <c r="J70" s="14">
        <v>1</v>
      </c>
      <c r="K70" s="14">
        <v>0</v>
      </c>
      <c r="L70" s="14">
        <v>0</v>
      </c>
      <c r="M70" s="18" t="e">
        <v>#NULL!</v>
      </c>
      <c r="N70" s="18" t="e">
        <v>#NULL!</v>
      </c>
      <c r="O70" s="16" t="s">
        <v>56</v>
      </c>
      <c r="P70" s="14">
        <v>8</v>
      </c>
      <c r="Q70" s="14">
        <v>1</v>
      </c>
      <c r="R70" s="16" t="s">
        <v>57</v>
      </c>
      <c r="S70" s="16" t="s">
        <v>57</v>
      </c>
      <c r="T70" s="17">
        <v>20.451146179909038</v>
      </c>
      <c r="U70" s="18" t="e">
        <v>#NULL!</v>
      </c>
      <c r="V70" s="18" t="e">
        <v>#NULL!</v>
      </c>
      <c r="W70" s="4"/>
      <c r="X70" s="4"/>
      <c r="Y70" s="4"/>
      <c r="Z70" s="4"/>
      <c r="AA70" s="4" t="s">
        <v>59</v>
      </c>
      <c r="AB70" s="5" t="e">
        <v>#NULL!</v>
      </c>
      <c r="AC70" s="4"/>
      <c r="AD70" s="5" t="e">
        <v>#NULL!</v>
      </c>
      <c r="AE70" s="4"/>
      <c r="AF70" s="5" t="e">
        <v>#NULL!</v>
      </c>
      <c r="AG70" s="5" t="e">
        <v>#NULL!</v>
      </c>
      <c r="AH70" s="5" t="e">
        <v>#NULL!</v>
      </c>
      <c r="AI70" s="5" t="e">
        <v>#NULL!</v>
      </c>
      <c r="AJ70" s="4"/>
      <c r="AK70" s="5" t="e">
        <v>#NULL!</v>
      </c>
      <c r="AL70" s="5" t="e">
        <v>#NULL!</v>
      </c>
      <c r="AM70" s="5" t="e">
        <v>#NULL!</v>
      </c>
      <c r="AN70" s="4"/>
      <c r="AO70" s="2">
        <v>3</v>
      </c>
      <c r="AP70" s="3">
        <v>1.3862943611198906</v>
      </c>
      <c r="AQ70" s="5" t="e">
        <v>#NULL!</v>
      </c>
      <c r="AR70" s="5" t="e">
        <v>#NULL!</v>
      </c>
      <c r="AS70" s="5" t="e">
        <v>#NULL!</v>
      </c>
      <c r="AT70" s="5" t="e">
        <v>#NULL!</v>
      </c>
      <c r="AU70" s="5" t="e">
        <v>#NULL!</v>
      </c>
      <c r="AV70" s="5" t="e">
        <v>#NULL!</v>
      </c>
      <c r="AW70" s="5" t="e">
        <v>#NULL!</v>
      </c>
      <c r="AX70" s="5" t="e">
        <v>#NULL!</v>
      </c>
      <c r="AY70" s="5" t="e">
        <v>#NULL!</v>
      </c>
      <c r="AZ70" s="5" t="e">
        <v>#NULL!</v>
      </c>
      <c r="BA70" s="4" t="s">
        <v>154</v>
      </c>
      <c r="BB70" s="6">
        <v>58.433</v>
      </c>
      <c r="BC70" s="6">
        <v>79.498999999999995</v>
      </c>
      <c r="BD70" s="7">
        <v>62.463999999999999</v>
      </c>
    </row>
    <row r="71" spans="1:56" x14ac:dyDescent="0.25">
      <c r="A71" s="74" t="s">
        <v>155</v>
      </c>
      <c r="B71" s="88">
        <v>0</v>
      </c>
      <c r="C71" s="81">
        <v>0</v>
      </c>
      <c r="D71" s="14">
        <v>0</v>
      </c>
      <c r="E71" s="14">
        <v>46</v>
      </c>
      <c r="F71" s="14">
        <v>0</v>
      </c>
      <c r="G71" s="14">
        <v>83</v>
      </c>
      <c r="H71" s="15">
        <v>1.52</v>
      </c>
      <c r="I71" s="14">
        <v>1</v>
      </c>
      <c r="J71" s="14">
        <v>0</v>
      </c>
      <c r="K71" s="14">
        <v>0</v>
      </c>
      <c r="L71" s="14">
        <v>0</v>
      </c>
      <c r="M71" s="18" t="e">
        <v>#NULL!</v>
      </c>
      <c r="N71" s="18" t="e">
        <v>#NULL!</v>
      </c>
      <c r="O71" s="16" t="s">
        <v>56</v>
      </c>
      <c r="P71" s="14">
        <v>3</v>
      </c>
      <c r="Q71" s="14">
        <v>1</v>
      </c>
      <c r="R71" s="16" t="s">
        <v>57</v>
      </c>
      <c r="S71" s="16" t="s">
        <v>57</v>
      </c>
      <c r="T71" s="17">
        <v>35.924515235457065</v>
      </c>
      <c r="U71" s="18" t="e">
        <v>#NULL!</v>
      </c>
      <c r="V71" s="18" t="e">
        <v>#NULL!</v>
      </c>
      <c r="W71" s="4"/>
      <c r="X71" s="4"/>
      <c r="Y71" s="4"/>
      <c r="Z71" s="4"/>
      <c r="AA71" s="4" t="s">
        <v>59</v>
      </c>
      <c r="AB71" s="5" t="e">
        <v>#NULL!</v>
      </c>
      <c r="AC71" s="4"/>
      <c r="AD71" s="5" t="e">
        <v>#NULL!</v>
      </c>
      <c r="AE71" s="4"/>
      <c r="AF71" s="5" t="e">
        <v>#NULL!</v>
      </c>
      <c r="AG71" s="5" t="e">
        <v>#NULL!</v>
      </c>
      <c r="AH71" s="5" t="e">
        <v>#NULL!</v>
      </c>
      <c r="AI71" s="5" t="e">
        <v>#NULL!</v>
      </c>
      <c r="AJ71" s="4"/>
      <c r="AK71" s="2">
        <v>0</v>
      </c>
      <c r="AL71" s="2">
        <v>0</v>
      </c>
      <c r="AM71" s="2">
        <v>0</v>
      </c>
      <c r="AN71" s="4"/>
      <c r="AO71" s="2">
        <v>4</v>
      </c>
      <c r="AP71" s="3">
        <v>1.6094379124341003</v>
      </c>
      <c r="AQ71" s="5" t="e">
        <v>#NULL!</v>
      </c>
      <c r="AR71" s="5" t="e">
        <v>#NULL!</v>
      </c>
      <c r="AS71" s="5" t="e">
        <v>#NULL!</v>
      </c>
      <c r="AT71" s="5" t="e">
        <v>#NULL!</v>
      </c>
      <c r="AU71" s="5" t="e">
        <v>#NULL!</v>
      </c>
      <c r="AV71" s="5" t="e">
        <v>#NULL!</v>
      </c>
      <c r="AW71" s="5" t="e">
        <v>#NULL!</v>
      </c>
      <c r="AX71" s="5" t="e">
        <v>#NULL!</v>
      </c>
      <c r="AY71" s="5" t="e">
        <v>#NULL!</v>
      </c>
      <c r="AZ71" s="5" t="e">
        <v>#NULL!</v>
      </c>
      <c r="BA71" s="4" t="s">
        <v>155</v>
      </c>
      <c r="BB71" s="6">
        <v>62.755000000000003</v>
      </c>
      <c r="BC71" s="6">
        <v>97.668000000000006</v>
      </c>
      <c r="BD71" s="7">
        <v>92.25</v>
      </c>
    </row>
    <row r="72" spans="1:56" x14ac:dyDescent="0.25">
      <c r="A72" s="74" t="s">
        <v>156</v>
      </c>
      <c r="B72" s="88">
        <v>0</v>
      </c>
      <c r="C72" s="81">
        <v>0</v>
      </c>
      <c r="D72" s="14">
        <v>0</v>
      </c>
      <c r="E72" s="14">
        <v>37</v>
      </c>
      <c r="F72" s="14">
        <v>1</v>
      </c>
      <c r="G72" s="14">
        <v>80</v>
      </c>
      <c r="H72" s="15">
        <v>1.8</v>
      </c>
      <c r="I72" s="14">
        <v>0</v>
      </c>
      <c r="J72" s="14">
        <v>1</v>
      </c>
      <c r="K72" s="14">
        <v>0</v>
      </c>
      <c r="L72" s="14">
        <v>0</v>
      </c>
      <c r="M72" s="18" t="e">
        <v>#NULL!</v>
      </c>
      <c r="N72" s="18" t="e">
        <v>#NULL!</v>
      </c>
      <c r="O72" s="16" t="s">
        <v>57</v>
      </c>
      <c r="P72" s="14">
        <v>0</v>
      </c>
      <c r="Q72" s="14">
        <v>1</v>
      </c>
      <c r="R72" s="16" t="s">
        <v>57</v>
      </c>
      <c r="S72" s="16" t="s">
        <v>57</v>
      </c>
      <c r="T72" s="17">
        <v>24.691358024691358</v>
      </c>
      <c r="U72" s="18" t="e">
        <v>#NULL!</v>
      </c>
      <c r="V72" s="18" t="e">
        <v>#NULL!</v>
      </c>
      <c r="W72" s="4"/>
      <c r="X72" s="4"/>
      <c r="Y72" s="4"/>
      <c r="Z72" s="4"/>
      <c r="AA72" s="4" t="s">
        <v>59</v>
      </c>
      <c r="AB72" s="5" t="e">
        <v>#NULL!</v>
      </c>
      <c r="AC72" s="4"/>
      <c r="AD72" s="5" t="e">
        <v>#NULL!</v>
      </c>
      <c r="AE72" s="4"/>
      <c r="AF72" s="5" t="e">
        <v>#NULL!</v>
      </c>
      <c r="AG72" s="5" t="e">
        <v>#NULL!</v>
      </c>
      <c r="AH72" s="5" t="e">
        <v>#NULL!</v>
      </c>
      <c r="AI72" s="5" t="e">
        <v>#NULL!</v>
      </c>
      <c r="AJ72" s="4"/>
      <c r="AK72" s="2">
        <v>0</v>
      </c>
      <c r="AL72" s="2">
        <v>0</v>
      </c>
      <c r="AM72" s="2">
        <v>0</v>
      </c>
      <c r="AN72" s="4"/>
      <c r="AO72" s="2">
        <v>0</v>
      </c>
      <c r="AP72" s="3">
        <v>0</v>
      </c>
      <c r="AQ72" s="5" t="e">
        <v>#NULL!</v>
      </c>
      <c r="AR72" s="5" t="e">
        <v>#NULL!</v>
      </c>
      <c r="AS72" s="5" t="e">
        <v>#NULL!</v>
      </c>
      <c r="AT72" s="5" t="e">
        <v>#NULL!</v>
      </c>
      <c r="AU72" s="5" t="e">
        <v>#NULL!</v>
      </c>
      <c r="AV72" s="5" t="e">
        <v>#NULL!</v>
      </c>
      <c r="AW72" s="5" t="e">
        <v>#NULL!</v>
      </c>
      <c r="AX72" s="5" t="e">
        <v>#NULL!</v>
      </c>
      <c r="AY72" s="5" t="e">
        <v>#NULL!</v>
      </c>
      <c r="AZ72" s="5" t="e">
        <v>#NULL!</v>
      </c>
      <c r="BA72" s="4" t="s">
        <v>156</v>
      </c>
      <c r="BB72" s="6">
        <v>69.903999999999996</v>
      </c>
      <c r="BC72" s="6">
        <v>54.956000000000003</v>
      </c>
      <c r="BD72" s="7">
        <v>50.238999999999997</v>
      </c>
    </row>
    <row r="73" spans="1:56" x14ac:dyDescent="0.25">
      <c r="A73" s="74" t="s">
        <v>55</v>
      </c>
      <c r="B73" s="88">
        <v>0</v>
      </c>
      <c r="C73" s="81">
        <v>0</v>
      </c>
      <c r="D73" s="14">
        <v>0</v>
      </c>
      <c r="E73" s="14">
        <v>23</v>
      </c>
      <c r="F73" s="14">
        <v>0</v>
      </c>
      <c r="G73" s="14">
        <v>79</v>
      </c>
      <c r="H73" s="15">
        <v>1.73</v>
      </c>
      <c r="I73" s="14">
        <v>0</v>
      </c>
      <c r="J73" s="14">
        <v>1</v>
      </c>
      <c r="K73" s="14">
        <v>1</v>
      </c>
      <c r="L73" s="14">
        <v>2</v>
      </c>
      <c r="M73" s="14">
        <v>10</v>
      </c>
      <c r="N73" s="14">
        <v>8</v>
      </c>
      <c r="O73" s="16" t="s">
        <v>56</v>
      </c>
      <c r="P73" s="14">
        <v>1</v>
      </c>
      <c r="Q73" s="14">
        <v>0</v>
      </c>
      <c r="R73" s="16" t="s">
        <v>57</v>
      </c>
      <c r="S73" s="16" t="s">
        <v>57</v>
      </c>
      <c r="T73" s="17">
        <v>26.4</v>
      </c>
      <c r="U73" s="18" t="e">
        <v>#NULL!</v>
      </c>
      <c r="V73" s="18" t="e">
        <v>#NULL!</v>
      </c>
      <c r="W73" s="4"/>
      <c r="X73" s="4"/>
      <c r="Y73" s="4" t="s">
        <v>58</v>
      </c>
      <c r="Z73" s="4"/>
      <c r="AA73" s="4" t="s">
        <v>59</v>
      </c>
      <c r="AB73" s="5" t="e">
        <v>#NULL!</v>
      </c>
      <c r="AC73" s="4"/>
      <c r="AD73" s="5" t="e">
        <v>#NULL!</v>
      </c>
      <c r="AE73" s="4"/>
      <c r="AF73" s="5" t="e">
        <v>#NULL!</v>
      </c>
      <c r="AG73" s="5" t="e">
        <v>#NULL!</v>
      </c>
      <c r="AH73" s="5" t="e">
        <v>#NULL!</v>
      </c>
      <c r="AI73" s="2">
        <v>1</v>
      </c>
      <c r="AJ73" s="4" t="s">
        <v>60</v>
      </c>
      <c r="AK73" s="2">
        <v>0</v>
      </c>
      <c r="AL73" s="2">
        <v>0</v>
      </c>
      <c r="AM73" s="2">
        <v>0</v>
      </c>
      <c r="AN73" s="4"/>
      <c r="AO73" s="2">
        <v>0</v>
      </c>
      <c r="AP73" s="3">
        <v>0</v>
      </c>
      <c r="AQ73" s="5" t="e">
        <v>#NULL!</v>
      </c>
      <c r="AR73" s="5" t="e">
        <v>#NULL!</v>
      </c>
      <c r="AS73" s="2">
        <v>40</v>
      </c>
      <c r="AT73" s="2">
        <v>25</v>
      </c>
      <c r="AU73" s="2">
        <v>37</v>
      </c>
      <c r="AV73" s="2">
        <v>13</v>
      </c>
      <c r="AW73" s="2">
        <v>2</v>
      </c>
      <c r="AX73" s="3">
        <v>0.69314718055994529</v>
      </c>
      <c r="AY73" s="2">
        <v>2</v>
      </c>
      <c r="AZ73" s="3">
        <v>0.69314718055994529</v>
      </c>
      <c r="BA73" s="4" t="s">
        <v>55</v>
      </c>
      <c r="BB73" s="6">
        <v>69.72</v>
      </c>
      <c r="BC73" s="6">
        <v>37.808</v>
      </c>
      <c r="BD73" s="7">
        <v>33.633000000000003</v>
      </c>
    </row>
    <row r="74" spans="1:56" x14ac:dyDescent="0.25">
      <c r="A74" s="74" t="s">
        <v>61</v>
      </c>
      <c r="B74" s="88">
        <v>0</v>
      </c>
      <c r="C74" s="81">
        <v>0</v>
      </c>
      <c r="D74" s="14">
        <v>0</v>
      </c>
      <c r="E74" s="14">
        <v>47</v>
      </c>
      <c r="F74" s="14">
        <v>0</v>
      </c>
      <c r="G74" s="14">
        <v>65</v>
      </c>
      <c r="H74" s="15">
        <v>1.68</v>
      </c>
      <c r="I74" s="14">
        <v>0</v>
      </c>
      <c r="J74" s="14">
        <v>1</v>
      </c>
      <c r="K74" s="14">
        <v>0</v>
      </c>
      <c r="L74" s="14">
        <v>0</v>
      </c>
      <c r="M74" s="14">
        <v>10</v>
      </c>
      <c r="N74" s="14">
        <v>12</v>
      </c>
      <c r="O74" s="16" t="s">
        <v>56</v>
      </c>
      <c r="P74" s="14">
        <v>1</v>
      </c>
      <c r="Q74" s="14">
        <v>0</v>
      </c>
      <c r="R74" s="16" t="s">
        <v>57</v>
      </c>
      <c r="S74" s="16" t="s">
        <v>57</v>
      </c>
      <c r="T74" s="17">
        <v>23.2</v>
      </c>
      <c r="U74" s="18" t="e">
        <v>#NULL!</v>
      </c>
      <c r="V74" s="18" t="e">
        <v>#NULL!</v>
      </c>
      <c r="W74" s="4"/>
      <c r="X74" s="4"/>
      <c r="Y74" s="4" t="s">
        <v>62</v>
      </c>
      <c r="Z74" s="4"/>
      <c r="AA74" s="4" t="s">
        <v>59</v>
      </c>
      <c r="AB74" s="5" t="e">
        <v>#NULL!</v>
      </c>
      <c r="AC74" s="4"/>
      <c r="AD74" s="5" t="e">
        <v>#NULL!</v>
      </c>
      <c r="AE74" s="4"/>
      <c r="AF74" s="5" t="e">
        <v>#NULL!</v>
      </c>
      <c r="AG74" s="5" t="e">
        <v>#NULL!</v>
      </c>
      <c r="AH74" s="5" t="e">
        <v>#NULL!</v>
      </c>
      <c r="AI74" s="2">
        <v>1</v>
      </c>
      <c r="AJ74" s="4" t="s">
        <v>63</v>
      </c>
      <c r="AK74" s="2">
        <v>0</v>
      </c>
      <c r="AL74" s="2">
        <v>0</v>
      </c>
      <c r="AM74" s="2">
        <v>0</v>
      </c>
      <c r="AN74" s="4"/>
      <c r="AO74" s="2">
        <v>0</v>
      </c>
      <c r="AP74" s="3">
        <v>0</v>
      </c>
      <c r="AQ74" s="5" t="e">
        <v>#NULL!</v>
      </c>
      <c r="AR74" s="5" t="e">
        <v>#NULL!</v>
      </c>
      <c r="AS74" s="2">
        <v>38</v>
      </c>
      <c r="AT74" s="2">
        <v>31</v>
      </c>
      <c r="AU74" s="2">
        <v>29</v>
      </c>
      <c r="AV74" s="2">
        <v>10</v>
      </c>
      <c r="AW74" s="2">
        <v>2</v>
      </c>
      <c r="AX74" s="3">
        <v>0.69314718055994529</v>
      </c>
      <c r="AY74" s="2">
        <v>3</v>
      </c>
      <c r="AZ74" s="3">
        <v>1.0986122886681098</v>
      </c>
      <c r="BA74" s="4" t="s">
        <v>61</v>
      </c>
      <c r="BB74" s="6">
        <v>59.469000000000001</v>
      </c>
      <c r="BC74" s="6">
        <v>46.081000000000003</v>
      </c>
      <c r="BD74" s="7">
        <v>30.766999999999999</v>
      </c>
    </row>
    <row r="75" spans="1:56" x14ac:dyDescent="0.25">
      <c r="A75" s="74" t="s">
        <v>64</v>
      </c>
      <c r="B75" s="88">
        <v>0</v>
      </c>
      <c r="C75" s="81">
        <v>0</v>
      </c>
      <c r="D75" s="14">
        <v>0</v>
      </c>
      <c r="E75" s="14">
        <v>29</v>
      </c>
      <c r="F75" s="14">
        <v>1</v>
      </c>
      <c r="G75" s="14">
        <v>94.4</v>
      </c>
      <c r="H75" s="15">
        <v>1.88</v>
      </c>
      <c r="I75" s="14">
        <v>1</v>
      </c>
      <c r="J75" s="14">
        <v>0</v>
      </c>
      <c r="K75" s="14">
        <v>1</v>
      </c>
      <c r="L75" s="14">
        <v>5</v>
      </c>
      <c r="M75" s="14">
        <v>9</v>
      </c>
      <c r="N75" s="14">
        <v>9</v>
      </c>
      <c r="O75" s="16" t="s">
        <v>56</v>
      </c>
      <c r="P75" s="14">
        <v>2</v>
      </c>
      <c r="Q75" s="14">
        <v>0</v>
      </c>
      <c r="R75" s="16" t="s">
        <v>56</v>
      </c>
      <c r="S75" s="16" t="s">
        <v>57</v>
      </c>
      <c r="T75" s="17">
        <v>26.74</v>
      </c>
      <c r="U75" s="18" t="e">
        <v>#NULL!</v>
      </c>
      <c r="V75" s="18" t="e">
        <v>#NULL!</v>
      </c>
      <c r="W75" s="4"/>
      <c r="X75" s="4"/>
      <c r="Y75" s="4"/>
      <c r="Z75" s="4"/>
      <c r="AA75" s="4" t="s">
        <v>59</v>
      </c>
      <c r="AB75" s="5" t="e">
        <v>#NULL!</v>
      </c>
      <c r="AC75" s="4"/>
      <c r="AD75" s="5" t="e">
        <v>#NULL!</v>
      </c>
      <c r="AE75" s="4"/>
      <c r="AF75" s="5" t="e">
        <v>#NULL!</v>
      </c>
      <c r="AG75" s="5" t="e">
        <v>#NULL!</v>
      </c>
      <c r="AH75" s="5" t="e">
        <v>#NULL!</v>
      </c>
      <c r="AI75" s="2">
        <v>0</v>
      </c>
      <c r="AJ75" s="4"/>
      <c r="AK75" s="2">
        <v>0</v>
      </c>
      <c r="AL75" s="2">
        <v>0</v>
      </c>
      <c r="AM75" s="2">
        <v>0</v>
      </c>
      <c r="AN75" s="4"/>
      <c r="AO75" s="2">
        <v>1</v>
      </c>
      <c r="AP75" s="3">
        <v>0.69314718055994529</v>
      </c>
      <c r="AQ75" s="5" t="e">
        <v>#NULL!</v>
      </c>
      <c r="AR75" s="5" t="e">
        <v>#NULL!</v>
      </c>
      <c r="AS75" s="2">
        <v>37</v>
      </c>
      <c r="AT75" s="2">
        <v>37</v>
      </c>
      <c r="AU75" s="2">
        <v>31</v>
      </c>
      <c r="AV75" s="2">
        <v>6</v>
      </c>
      <c r="AW75" s="2">
        <v>1</v>
      </c>
      <c r="AX75" s="3">
        <v>0</v>
      </c>
      <c r="AY75" s="2">
        <v>2</v>
      </c>
      <c r="AZ75" s="3">
        <v>0.69314718055994529</v>
      </c>
      <c r="BA75" s="4" t="s">
        <v>64</v>
      </c>
      <c r="BB75" s="6">
        <v>54.500999999999998</v>
      </c>
      <c r="BC75" s="6">
        <v>77.828999999999994</v>
      </c>
      <c r="BD75" s="7">
        <v>54.65</v>
      </c>
    </row>
    <row r="76" spans="1:56" x14ac:dyDescent="0.25">
      <c r="A76" s="74" t="s">
        <v>65</v>
      </c>
      <c r="B76" s="88">
        <v>0</v>
      </c>
      <c r="C76" s="81">
        <v>0</v>
      </c>
      <c r="D76" s="14">
        <v>0</v>
      </c>
      <c r="E76" s="14">
        <v>29</v>
      </c>
      <c r="F76" s="14">
        <v>0</v>
      </c>
      <c r="G76" s="14">
        <v>50</v>
      </c>
      <c r="H76" s="15">
        <v>1.64</v>
      </c>
      <c r="I76" s="14">
        <v>0</v>
      </c>
      <c r="J76" s="14">
        <v>1</v>
      </c>
      <c r="K76" s="14">
        <v>0</v>
      </c>
      <c r="L76" s="14">
        <v>0</v>
      </c>
      <c r="M76" s="14">
        <v>4</v>
      </c>
      <c r="N76" s="14">
        <v>4</v>
      </c>
      <c r="O76" s="16" t="s">
        <v>57</v>
      </c>
      <c r="P76" s="14">
        <v>0</v>
      </c>
      <c r="Q76" s="14">
        <v>0</v>
      </c>
      <c r="R76" s="16" t="s">
        <v>56</v>
      </c>
      <c r="S76" s="16" t="s">
        <v>57</v>
      </c>
      <c r="T76" s="17">
        <v>18.59</v>
      </c>
      <c r="U76" s="18" t="e">
        <v>#NULL!</v>
      </c>
      <c r="V76" s="18" t="e">
        <v>#NULL!</v>
      </c>
      <c r="W76" s="4"/>
      <c r="X76" s="4"/>
      <c r="Y76" s="4" t="s">
        <v>66</v>
      </c>
      <c r="Z76" s="4"/>
      <c r="AA76" s="4" t="s">
        <v>59</v>
      </c>
      <c r="AB76" s="5" t="e">
        <v>#NULL!</v>
      </c>
      <c r="AC76" s="4"/>
      <c r="AD76" s="5" t="e">
        <v>#NULL!</v>
      </c>
      <c r="AE76" s="4"/>
      <c r="AF76" s="5" t="e">
        <v>#NULL!</v>
      </c>
      <c r="AG76" s="5" t="e">
        <v>#NULL!</v>
      </c>
      <c r="AH76" s="5" t="e">
        <v>#NULL!</v>
      </c>
      <c r="AI76" s="2">
        <v>0</v>
      </c>
      <c r="AJ76" s="4"/>
      <c r="AK76" s="2">
        <v>0</v>
      </c>
      <c r="AL76" s="2">
        <v>0</v>
      </c>
      <c r="AM76" s="2">
        <v>0</v>
      </c>
      <c r="AN76" s="4"/>
      <c r="AO76" s="2">
        <v>5</v>
      </c>
      <c r="AP76" s="3">
        <v>1.791759469228055</v>
      </c>
      <c r="AQ76" s="5" t="e">
        <v>#NULL!</v>
      </c>
      <c r="AR76" s="5" t="e">
        <v>#NULL!</v>
      </c>
      <c r="AS76" s="2">
        <v>40</v>
      </c>
      <c r="AT76" s="2">
        <v>32</v>
      </c>
      <c r="AU76" s="2">
        <v>35</v>
      </c>
      <c r="AV76" s="2">
        <v>9</v>
      </c>
      <c r="AW76" s="2">
        <v>2</v>
      </c>
      <c r="AX76" s="3">
        <v>0.69314718055994529</v>
      </c>
      <c r="AY76" s="2">
        <v>3</v>
      </c>
      <c r="AZ76" s="3">
        <v>1.0986122886681098</v>
      </c>
      <c r="BA76" s="4" t="s">
        <v>65</v>
      </c>
      <c r="BB76" s="6">
        <v>74.126000000000005</v>
      </c>
      <c r="BC76" s="6">
        <v>89.372</v>
      </c>
      <c r="BD76" s="7">
        <v>62.777999999999999</v>
      </c>
    </row>
    <row r="77" spans="1:56" x14ac:dyDescent="0.25">
      <c r="A77" s="74" t="s">
        <v>67</v>
      </c>
      <c r="B77" s="88">
        <v>0</v>
      </c>
      <c r="C77" s="81">
        <v>0</v>
      </c>
      <c r="D77" s="14">
        <v>0</v>
      </c>
      <c r="E77" s="14">
        <v>23</v>
      </c>
      <c r="F77" s="14">
        <v>0</v>
      </c>
      <c r="G77" s="14">
        <v>64</v>
      </c>
      <c r="H77" s="15">
        <v>1.68</v>
      </c>
      <c r="I77" s="14">
        <v>0</v>
      </c>
      <c r="J77" s="14">
        <v>1</v>
      </c>
      <c r="K77" s="14">
        <v>0</v>
      </c>
      <c r="L77" s="14">
        <v>0</v>
      </c>
      <c r="M77" s="14">
        <v>4</v>
      </c>
      <c r="N77" s="14">
        <v>4</v>
      </c>
      <c r="O77" s="16" t="s">
        <v>56</v>
      </c>
      <c r="P77" s="14">
        <v>2</v>
      </c>
      <c r="Q77" s="14">
        <v>1</v>
      </c>
      <c r="R77" s="16" t="s">
        <v>57</v>
      </c>
      <c r="S77" s="16" t="s">
        <v>57</v>
      </c>
      <c r="T77" s="17">
        <v>22.69</v>
      </c>
      <c r="U77" s="18" t="e">
        <v>#NULL!</v>
      </c>
      <c r="V77" s="18" t="e">
        <v>#NULL!</v>
      </c>
      <c r="W77" s="4"/>
      <c r="X77" s="4"/>
      <c r="Y77" s="4" t="s">
        <v>62</v>
      </c>
      <c r="Z77" s="4"/>
      <c r="AA77" s="4" t="s">
        <v>59</v>
      </c>
      <c r="AB77" s="5" t="e">
        <v>#NULL!</v>
      </c>
      <c r="AC77" s="4"/>
      <c r="AD77" s="5" t="e">
        <v>#NULL!</v>
      </c>
      <c r="AE77" s="4"/>
      <c r="AF77" s="5" t="e">
        <v>#NULL!</v>
      </c>
      <c r="AG77" s="5" t="e">
        <v>#NULL!</v>
      </c>
      <c r="AH77" s="5" t="e">
        <v>#NULL!</v>
      </c>
      <c r="AI77" s="2">
        <v>0</v>
      </c>
      <c r="AJ77" s="4"/>
      <c r="AK77" s="2">
        <v>0</v>
      </c>
      <c r="AL77" s="2">
        <v>0</v>
      </c>
      <c r="AM77" s="2">
        <v>0</v>
      </c>
      <c r="AN77" s="4"/>
      <c r="AO77" s="2">
        <v>1</v>
      </c>
      <c r="AP77" s="3">
        <v>0.69314718055994529</v>
      </c>
      <c r="AQ77" s="5" t="e">
        <v>#NULL!</v>
      </c>
      <c r="AR77" s="5" t="e">
        <v>#NULL!</v>
      </c>
      <c r="AS77" s="2">
        <v>40</v>
      </c>
      <c r="AT77" s="2">
        <v>38</v>
      </c>
      <c r="AU77" s="2">
        <v>35</v>
      </c>
      <c r="AV77" s="2">
        <v>6</v>
      </c>
      <c r="AW77" s="2">
        <v>1</v>
      </c>
      <c r="AX77" s="3">
        <v>0</v>
      </c>
      <c r="AY77" s="2">
        <v>3</v>
      </c>
      <c r="AZ77" s="3">
        <v>1.0986122886681098</v>
      </c>
      <c r="BA77" s="4" t="s">
        <v>67</v>
      </c>
      <c r="BB77" s="6">
        <v>64.418999999999997</v>
      </c>
      <c r="BC77" s="6">
        <v>97.241</v>
      </c>
      <c r="BD77" s="7">
        <v>109.9</v>
      </c>
    </row>
    <row r="78" spans="1:56" x14ac:dyDescent="0.25">
      <c r="A78" s="74" t="s">
        <v>68</v>
      </c>
      <c r="B78" s="88">
        <v>0</v>
      </c>
      <c r="C78" s="81">
        <v>0</v>
      </c>
      <c r="D78" s="14">
        <v>0</v>
      </c>
      <c r="E78" s="14">
        <v>25</v>
      </c>
      <c r="F78" s="14">
        <v>1</v>
      </c>
      <c r="G78" s="14">
        <v>73</v>
      </c>
      <c r="H78" s="15">
        <v>1.82</v>
      </c>
      <c r="I78" s="14">
        <v>0</v>
      </c>
      <c r="J78" s="14">
        <v>1</v>
      </c>
      <c r="K78" s="14">
        <v>0</v>
      </c>
      <c r="L78" s="14">
        <v>0</v>
      </c>
      <c r="M78" s="14">
        <v>2</v>
      </c>
      <c r="N78" s="14">
        <v>2</v>
      </c>
      <c r="O78" s="16" t="s">
        <v>56</v>
      </c>
      <c r="P78" s="14">
        <v>1</v>
      </c>
      <c r="Q78" s="14">
        <v>1</v>
      </c>
      <c r="R78" s="16" t="s">
        <v>57</v>
      </c>
      <c r="S78" s="16" t="s">
        <v>57</v>
      </c>
      <c r="T78" s="17">
        <v>22.05</v>
      </c>
      <c r="U78" s="18" t="e">
        <v>#NULL!</v>
      </c>
      <c r="V78" s="18" t="e">
        <v>#NULL!</v>
      </c>
      <c r="W78" s="4"/>
      <c r="X78" s="4"/>
      <c r="Y78" s="4"/>
      <c r="Z78" s="4"/>
      <c r="AA78" s="4" t="s">
        <v>59</v>
      </c>
      <c r="AB78" s="5" t="e">
        <v>#NULL!</v>
      </c>
      <c r="AC78" s="4"/>
      <c r="AD78" s="5" t="e">
        <v>#NULL!</v>
      </c>
      <c r="AE78" s="4"/>
      <c r="AF78" s="5" t="e">
        <v>#NULL!</v>
      </c>
      <c r="AG78" s="5" t="e">
        <v>#NULL!</v>
      </c>
      <c r="AH78" s="5" t="e">
        <v>#NULL!</v>
      </c>
      <c r="AI78" s="2">
        <v>0</v>
      </c>
      <c r="AJ78" s="4"/>
      <c r="AK78" s="2">
        <v>0</v>
      </c>
      <c r="AL78" s="2">
        <v>0</v>
      </c>
      <c r="AM78" s="2">
        <v>0</v>
      </c>
      <c r="AN78" s="4"/>
      <c r="AO78" s="2">
        <v>4</v>
      </c>
      <c r="AP78" s="3">
        <v>1.6094379124341003</v>
      </c>
      <c r="AQ78" s="5" t="e">
        <v>#NULL!</v>
      </c>
      <c r="AR78" s="5" t="e">
        <v>#NULL!</v>
      </c>
      <c r="AS78" s="2">
        <v>36</v>
      </c>
      <c r="AT78" s="2">
        <v>37</v>
      </c>
      <c r="AU78" s="2">
        <v>33</v>
      </c>
      <c r="AV78" s="2">
        <v>1</v>
      </c>
      <c r="AW78" s="2">
        <v>2</v>
      </c>
      <c r="AX78" s="3">
        <v>0.69314718055994529</v>
      </c>
      <c r="AY78" s="2">
        <v>3</v>
      </c>
      <c r="AZ78" s="3">
        <v>1.0986122886681098</v>
      </c>
      <c r="BA78" s="4" t="s">
        <v>68</v>
      </c>
      <c r="BB78" s="6">
        <v>59.573</v>
      </c>
      <c r="BC78" s="6">
        <v>82.872</v>
      </c>
      <c r="BD78" s="7">
        <v>67.808999999999997</v>
      </c>
    </row>
    <row r="79" spans="1:56" x14ac:dyDescent="0.25">
      <c r="A79" s="74" t="s">
        <v>69</v>
      </c>
      <c r="B79" s="88">
        <v>0</v>
      </c>
      <c r="C79" s="81">
        <v>0</v>
      </c>
      <c r="D79" s="14">
        <v>0</v>
      </c>
      <c r="E79" s="14">
        <v>22</v>
      </c>
      <c r="F79" s="14">
        <v>1</v>
      </c>
      <c r="G79" s="14">
        <v>78</v>
      </c>
      <c r="H79" s="15">
        <v>1.85</v>
      </c>
      <c r="I79" s="14">
        <v>0</v>
      </c>
      <c r="J79" s="14">
        <v>1</v>
      </c>
      <c r="K79" s="14">
        <v>0</v>
      </c>
      <c r="L79" s="14">
        <v>0</v>
      </c>
      <c r="M79" s="14">
        <v>2</v>
      </c>
      <c r="N79" s="14">
        <v>2</v>
      </c>
      <c r="O79" s="16" t="s">
        <v>56</v>
      </c>
      <c r="P79" s="14">
        <v>2</v>
      </c>
      <c r="Q79" s="14">
        <v>1</v>
      </c>
      <c r="R79" s="16" t="s">
        <v>57</v>
      </c>
      <c r="S79" s="16" t="s">
        <v>57</v>
      </c>
      <c r="T79" s="17">
        <v>22.79</v>
      </c>
      <c r="U79" s="18" t="e">
        <v>#NULL!</v>
      </c>
      <c r="V79" s="18" t="e">
        <v>#NULL!</v>
      </c>
      <c r="W79" s="4"/>
      <c r="X79" s="4"/>
      <c r="Y79" s="4"/>
      <c r="Z79" s="4"/>
      <c r="AA79" s="4" t="s">
        <v>59</v>
      </c>
      <c r="AB79" s="5" t="e">
        <v>#NULL!</v>
      </c>
      <c r="AC79" s="4"/>
      <c r="AD79" s="5" t="e">
        <v>#NULL!</v>
      </c>
      <c r="AE79" s="4"/>
      <c r="AF79" s="5" t="e">
        <v>#NULL!</v>
      </c>
      <c r="AG79" s="5" t="e">
        <v>#NULL!</v>
      </c>
      <c r="AH79" s="5" t="e">
        <v>#NULL!</v>
      </c>
      <c r="AI79" s="2">
        <v>0</v>
      </c>
      <c r="AJ79" s="4"/>
      <c r="AK79" s="2">
        <v>0</v>
      </c>
      <c r="AL79" s="2">
        <v>0</v>
      </c>
      <c r="AM79" s="2">
        <v>0</v>
      </c>
      <c r="AN79" s="4"/>
      <c r="AO79" s="2">
        <v>0</v>
      </c>
      <c r="AP79" s="3">
        <v>0</v>
      </c>
      <c r="AQ79" s="5" t="e">
        <v>#NULL!</v>
      </c>
      <c r="AR79" s="5" t="e">
        <v>#NULL!</v>
      </c>
      <c r="AS79" s="2">
        <v>39</v>
      </c>
      <c r="AT79" s="2">
        <v>37</v>
      </c>
      <c r="AU79" s="2">
        <v>39</v>
      </c>
      <c r="AV79" s="2">
        <v>5</v>
      </c>
      <c r="AW79" s="2">
        <v>1</v>
      </c>
      <c r="AX79" s="3">
        <v>0</v>
      </c>
      <c r="AY79" s="2">
        <v>1</v>
      </c>
      <c r="AZ79" s="3">
        <v>0</v>
      </c>
      <c r="BA79" s="4" t="s">
        <v>69</v>
      </c>
      <c r="BB79" s="6">
        <v>60.533000000000001</v>
      </c>
      <c r="BC79" s="6">
        <v>73.143000000000001</v>
      </c>
      <c r="BD79" s="7">
        <v>39.348999999999997</v>
      </c>
    </row>
    <row r="80" spans="1:56" x14ac:dyDescent="0.25">
      <c r="A80" s="74" t="s">
        <v>70</v>
      </c>
      <c r="B80" s="88">
        <v>0</v>
      </c>
      <c r="C80" s="81">
        <v>0</v>
      </c>
      <c r="D80" s="14">
        <v>0</v>
      </c>
      <c r="E80" s="14">
        <v>24</v>
      </c>
      <c r="F80" s="14">
        <v>0</v>
      </c>
      <c r="G80" s="14">
        <v>56</v>
      </c>
      <c r="H80" s="15">
        <v>1.64</v>
      </c>
      <c r="I80" s="14">
        <v>0</v>
      </c>
      <c r="J80" s="14">
        <v>1</v>
      </c>
      <c r="K80" s="14">
        <v>0</v>
      </c>
      <c r="L80" s="14">
        <v>0</v>
      </c>
      <c r="M80" s="14">
        <v>6</v>
      </c>
      <c r="N80" s="14">
        <v>6</v>
      </c>
      <c r="O80" s="16" t="s">
        <v>56</v>
      </c>
      <c r="P80" s="14">
        <v>2</v>
      </c>
      <c r="Q80" s="14">
        <v>1</v>
      </c>
      <c r="R80" s="16" t="s">
        <v>57</v>
      </c>
      <c r="S80" s="16" t="s">
        <v>57</v>
      </c>
      <c r="T80" s="17">
        <v>20.8</v>
      </c>
      <c r="U80" s="18" t="e">
        <v>#NULL!</v>
      </c>
      <c r="V80" s="18" t="e">
        <v>#NULL!</v>
      </c>
      <c r="W80" s="4"/>
      <c r="X80" s="4"/>
      <c r="Y80" s="4" t="s">
        <v>62</v>
      </c>
      <c r="Z80" s="4"/>
      <c r="AA80" s="4" t="s">
        <v>59</v>
      </c>
      <c r="AB80" s="5" t="e">
        <v>#NULL!</v>
      </c>
      <c r="AC80" s="4"/>
      <c r="AD80" s="5" t="e">
        <v>#NULL!</v>
      </c>
      <c r="AE80" s="4"/>
      <c r="AF80" s="5" t="e">
        <v>#NULL!</v>
      </c>
      <c r="AG80" s="5" t="e">
        <v>#NULL!</v>
      </c>
      <c r="AH80" s="5" t="e">
        <v>#NULL!</v>
      </c>
      <c r="AI80" s="2">
        <v>1</v>
      </c>
      <c r="AJ80" s="4" t="s">
        <v>71</v>
      </c>
      <c r="AK80" s="2">
        <v>1</v>
      </c>
      <c r="AL80" s="2">
        <v>-3</v>
      </c>
      <c r="AM80" s="2">
        <v>-3</v>
      </c>
      <c r="AN80" s="4"/>
      <c r="AO80" s="2">
        <v>0</v>
      </c>
      <c r="AP80" s="3">
        <v>0</v>
      </c>
      <c r="AQ80" s="5" t="e">
        <v>#NULL!</v>
      </c>
      <c r="AR80" s="5" t="e">
        <v>#NULL!</v>
      </c>
      <c r="AS80" s="2">
        <v>34</v>
      </c>
      <c r="AT80" s="2">
        <v>30</v>
      </c>
      <c r="AU80" s="2">
        <v>32</v>
      </c>
      <c r="AV80" s="2">
        <v>11</v>
      </c>
      <c r="AW80" s="2">
        <v>3</v>
      </c>
      <c r="AX80" s="3">
        <v>1.0986122886681098</v>
      </c>
      <c r="AY80" s="2">
        <v>4</v>
      </c>
      <c r="AZ80" s="3">
        <v>1.3862943611198906</v>
      </c>
      <c r="BA80" s="4" t="s">
        <v>70</v>
      </c>
      <c r="BB80" s="6">
        <v>62.753999999999998</v>
      </c>
      <c r="BC80" s="6">
        <v>61.223999999999997</v>
      </c>
      <c r="BD80" s="7">
        <v>52.58</v>
      </c>
    </row>
    <row r="81" spans="1:56" ht="15.75" thickBot="1" x14ac:dyDescent="0.3">
      <c r="A81" s="97" t="s">
        <v>72</v>
      </c>
      <c r="B81" s="100">
        <v>0</v>
      </c>
      <c r="C81" s="103">
        <v>0</v>
      </c>
      <c r="D81" s="106">
        <v>0</v>
      </c>
      <c r="E81" s="106">
        <v>24</v>
      </c>
      <c r="F81" s="106">
        <v>0</v>
      </c>
      <c r="G81" s="106">
        <v>61</v>
      </c>
      <c r="H81" s="109">
        <v>1.72</v>
      </c>
      <c r="I81" s="106">
        <v>0</v>
      </c>
      <c r="J81" s="106">
        <v>1</v>
      </c>
      <c r="K81" s="106">
        <v>0</v>
      </c>
      <c r="L81" s="106">
        <v>0</v>
      </c>
      <c r="M81" s="106">
        <v>6</v>
      </c>
      <c r="N81" s="106">
        <v>8</v>
      </c>
      <c r="O81" s="114" t="s">
        <v>57</v>
      </c>
      <c r="P81" s="106">
        <v>0</v>
      </c>
      <c r="Q81" s="106">
        <v>1</v>
      </c>
      <c r="R81" s="114" t="s">
        <v>57</v>
      </c>
      <c r="S81" s="114" t="s">
        <v>57</v>
      </c>
      <c r="T81" s="117">
        <v>20.6</v>
      </c>
      <c r="U81" s="118" t="e">
        <v>#NULL!</v>
      </c>
      <c r="V81" s="118" t="e">
        <v>#NULL!</v>
      </c>
      <c r="W81" s="61"/>
      <c r="X81" s="61"/>
      <c r="Y81" s="61" t="s">
        <v>62</v>
      </c>
      <c r="Z81" s="61"/>
      <c r="AA81" s="61" t="s">
        <v>59</v>
      </c>
      <c r="AB81" s="62" t="e">
        <v>#NULL!</v>
      </c>
      <c r="AC81" s="61"/>
      <c r="AD81" s="62" t="e">
        <v>#NULL!</v>
      </c>
      <c r="AE81" s="61"/>
      <c r="AF81" s="62" t="e">
        <v>#NULL!</v>
      </c>
      <c r="AG81" s="62" t="e">
        <v>#NULL!</v>
      </c>
      <c r="AH81" s="62" t="e">
        <v>#NULL!</v>
      </c>
      <c r="AI81" s="64">
        <v>0</v>
      </c>
      <c r="AJ81" s="61"/>
      <c r="AK81" s="64">
        <v>1</v>
      </c>
      <c r="AL81" s="64">
        <v>-1.75</v>
      </c>
      <c r="AM81" s="64">
        <v>-0.75</v>
      </c>
      <c r="AN81" s="61"/>
      <c r="AO81" s="64">
        <v>0</v>
      </c>
      <c r="AP81" s="63">
        <v>0</v>
      </c>
      <c r="AQ81" s="62" t="e">
        <v>#NULL!</v>
      </c>
      <c r="AR81" s="62" t="e">
        <v>#NULL!</v>
      </c>
      <c r="AS81" s="64">
        <v>36</v>
      </c>
      <c r="AT81" s="64">
        <v>31</v>
      </c>
      <c r="AU81" s="64">
        <v>34</v>
      </c>
      <c r="AV81" s="64">
        <v>9</v>
      </c>
      <c r="AW81" s="64">
        <v>2</v>
      </c>
      <c r="AX81" s="63">
        <v>0.69314718055994529</v>
      </c>
      <c r="AY81" s="64">
        <v>2</v>
      </c>
      <c r="AZ81" s="63">
        <v>0.69314718055994529</v>
      </c>
      <c r="BA81" s="61" t="s">
        <v>72</v>
      </c>
      <c r="BB81" s="65">
        <v>57.113999999999997</v>
      </c>
      <c r="BC81" s="65">
        <v>83.474999999999994</v>
      </c>
      <c r="BD81" s="66">
        <v>75.712999999999994</v>
      </c>
    </row>
    <row r="82" spans="1:56" x14ac:dyDescent="0.25">
      <c r="A82" s="73" t="s">
        <v>73</v>
      </c>
      <c r="B82" s="87">
        <v>0</v>
      </c>
      <c r="C82" s="80">
        <v>0</v>
      </c>
      <c r="D82" s="51">
        <v>0</v>
      </c>
      <c r="E82" s="51">
        <v>26</v>
      </c>
      <c r="F82" s="51">
        <v>1</v>
      </c>
      <c r="G82" s="51">
        <v>68</v>
      </c>
      <c r="H82" s="52">
        <v>1.72</v>
      </c>
      <c r="I82" s="51">
        <v>0</v>
      </c>
      <c r="J82" s="51">
        <v>1</v>
      </c>
      <c r="K82" s="51">
        <v>0</v>
      </c>
      <c r="L82" s="51">
        <v>0</v>
      </c>
      <c r="M82" s="51">
        <v>7</v>
      </c>
      <c r="N82" s="51">
        <v>7</v>
      </c>
      <c r="O82" s="53" t="s">
        <v>56</v>
      </c>
      <c r="P82" s="51">
        <v>2</v>
      </c>
      <c r="Q82" s="51">
        <v>1</v>
      </c>
      <c r="R82" s="53" t="s">
        <v>57</v>
      </c>
      <c r="S82" s="53" t="s">
        <v>57</v>
      </c>
      <c r="T82" s="54">
        <v>22.97</v>
      </c>
      <c r="U82" s="55" t="e">
        <v>#NULL!</v>
      </c>
      <c r="V82" s="55" t="e">
        <v>#NULL!</v>
      </c>
      <c r="W82" s="126"/>
      <c r="X82" s="126"/>
      <c r="Y82" s="126"/>
      <c r="Z82" s="126"/>
      <c r="AA82" s="126" t="s">
        <v>59</v>
      </c>
      <c r="AB82" s="127" t="e">
        <v>#NULL!</v>
      </c>
      <c r="AC82" s="126"/>
      <c r="AD82" s="127" t="e">
        <v>#NULL!</v>
      </c>
      <c r="AE82" s="126"/>
      <c r="AF82" s="127" t="e">
        <v>#NULL!</v>
      </c>
      <c r="AG82" s="127" t="e">
        <v>#NULL!</v>
      </c>
      <c r="AH82" s="127" t="e">
        <v>#NULL!</v>
      </c>
      <c r="AI82" s="128">
        <v>1</v>
      </c>
      <c r="AJ82" s="126" t="s">
        <v>35</v>
      </c>
      <c r="AK82" s="128">
        <v>1</v>
      </c>
      <c r="AL82" s="128">
        <v>-8</v>
      </c>
      <c r="AM82" s="128">
        <v>-8</v>
      </c>
      <c r="AN82" s="126" t="s">
        <v>74</v>
      </c>
      <c r="AO82" s="128">
        <v>2</v>
      </c>
      <c r="AP82" s="129">
        <v>1.0986122886681098</v>
      </c>
      <c r="AQ82" s="127" t="e">
        <v>#NULL!</v>
      </c>
      <c r="AR82" s="127" t="e">
        <v>#NULL!</v>
      </c>
      <c r="AS82" s="128">
        <v>32</v>
      </c>
      <c r="AT82" s="128">
        <v>30</v>
      </c>
      <c r="AU82" s="128">
        <v>32</v>
      </c>
      <c r="AV82" s="128">
        <v>6</v>
      </c>
      <c r="AW82" s="128">
        <v>1</v>
      </c>
      <c r="AX82" s="129">
        <v>0</v>
      </c>
      <c r="AY82" s="128">
        <v>2</v>
      </c>
      <c r="AZ82" s="129">
        <v>0.69314718055994529</v>
      </c>
      <c r="BA82" s="126" t="s">
        <v>73</v>
      </c>
      <c r="BB82" s="130">
        <v>61.445</v>
      </c>
      <c r="BC82" s="130">
        <v>67.507999999999996</v>
      </c>
      <c r="BD82" s="131">
        <v>59.808999999999997</v>
      </c>
    </row>
    <row r="83" spans="1:56" x14ac:dyDescent="0.25">
      <c r="A83" s="74" t="s">
        <v>75</v>
      </c>
      <c r="B83" s="88">
        <v>0</v>
      </c>
      <c r="C83" s="81">
        <v>0</v>
      </c>
      <c r="D83" s="14">
        <v>0</v>
      </c>
      <c r="E83" s="14">
        <v>40</v>
      </c>
      <c r="F83" s="14">
        <v>0</v>
      </c>
      <c r="G83" s="14">
        <v>55</v>
      </c>
      <c r="H83" s="15">
        <v>1.62</v>
      </c>
      <c r="I83" s="14">
        <v>0</v>
      </c>
      <c r="J83" s="14">
        <v>1</v>
      </c>
      <c r="K83" s="14">
        <v>0</v>
      </c>
      <c r="L83" s="14">
        <v>0</v>
      </c>
      <c r="M83" s="14">
        <v>5</v>
      </c>
      <c r="N83" s="14">
        <v>4</v>
      </c>
      <c r="O83" s="16" t="s">
        <v>56</v>
      </c>
      <c r="P83" s="14">
        <v>2</v>
      </c>
      <c r="Q83" s="14">
        <v>1</v>
      </c>
      <c r="R83" s="16" t="s">
        <v>57</v>
      </c>
      <c r="S83" s="16" t="s">
        <v>57</v>
      </c>
      <c r="T83" s="17">
        <v>21.37</v>
      </c>
      <c r="U83" s="18" t="e">
        <v>#NULL!</v>
      </c>
      <c r="V83" s="18" t="e">
        <v>#NULL!</v>
      </c>
      <c r="W83" s="4"/>
      <c r="X83" s="4"/>
      <c r="Y83" s="4" t="s">
        <v>76</v>
      </c>
      <c r="Z83" s="4"/>
      <c r="AA83" s="4" t="s">
        <v>59</v>
      </c>
      <c r="AB83" s="5" t="e">
        <v>#NULL!</v>
      </c>
      <c r="AC83" s="4"/>
      <c r="AD83" s="5" t="e">
        <v>#NULL!</v>
      </c>
      <c r="AE83" s="4"/>
      <c r="AF83" s="5" t="e">
        <v>#NULL!</v>
      </c>
      <c r="AG83" s="5" t="e">
        <v>#NULL!</v>
      </c>
      <c r="AH83" s="5" t="e">
        <v>#NULL!</v>
      </c>
      <c r="AI83" s="2">
        <v>0</v>
      </c>
      <c r="AJ83" s="4"/>
      <c r="AK83" s="2">
        <v>1</v>
      </c>
      <c r="AL83" s="2">
        <v>-3.5</v>
      </c>
      <c r="AM83" s="2">
        <v>-3.5</v>
      </c>
      <c r="AN83" s="4" t="s">
        <v>77</v>
      </c>
      <c r="AO83" s="2">
        <v>6</v>
      </c>
      <c r="AP83" s="3">
        <v>1.9459101490553132</v>
      </c>
      <c r="AQ83" s="5" t="e">
        <v>#NULL!</v>
      </c>
      <c r="AR83" s="5" t="e">
        <v>#NULL!</v>
      </c>
      <c r="AS83" s="2">
        <v>39</v>
      </c>
      <c r="AT83" s="2">
        <v>32</v>
      </c>
      <c r="AU83" s="2">
        <v>33</v>
      </c>
      <c r="AV83" s="2">
        <v>4</v>
      </c>
      <c r="AW83" s="2">
        <v>2</v>
      </c>
      <c r="AX83" s="3">
        <v>0.69314718055994529</v>
      </c>
      <c r="AY83" s="2">
        <v>2</v>
      </c>
      <c r="AZ83" s="3">
        <v>0.69314718055994529</v>
      </c>
      <c r="BA83" s="4" t="s">
        <v>75</v>
      </c>
      <c r="BB83" s="6">
        <v>67.051000000000002</v>
      </c>
      <c r="BC83" s="6">
        <v>40.459000000000003</v>
      </c>
      <c r="BD83" s="7">
        <v>27.58</v>
      </c>
    </row>
    <row r="84" spans="1:56" x14ac:dyDescent="0.25">
      <c r="A84" s="74" t="s">
        <v>78</v>
      </c>
      <c r="B84" s="88">
        <v>0</v>
      </c>
      <c r="C84" s="81">
        <v>0</v>
      </c>
      <c r="D84" s="14">
        <v>0</v>
      </c>
      <c r="E84" s="14">
        <v>30</v>
      </c>
      <c r="F84" s="14">
        <v>0</v>
      </c>
      <c r="G84" s="14">
        <v>70</v>
      </c>
      <c r="H84" s="15">
        <v>1.69</v>
      </c>
      <c r="I84" s="14">
        <v>0</v>
      </c>
      <c r="J84" s="14">
        <v>1</v>
      </c>
      <c r="K84" s="14">
        <v>0</v>
      </c>
      <c r="L84" s="14">
        <v>0</v>
      </c>
      <c r="M84" s="14">
        <v>2</v>
      </c>
      <c r="N84" s="14">
        <v>2</v>
      </c>
      <c r="O84" s="16" t="s">
        <v>56</v>
      </c>
      <c r="P84" s="14">
        <v>4</v>
      </c>
      <c r="Q84" s="14">
        <v>1</v>
      </c>
      <c r="R84" s="16" t="s">
        <v>57</v>
      </c>
      <c r="S84" s="16" t="s">
        <v>57</v>
      </c>
      <c r="T84" s="17">
        <v>24.48</v>
      </c>
      <c r="U84" s="18" t="e">
        <v>#NULL!</v>
      </c>
      <c r="V84" s="18" t="e">
        <v>#NULL!</v>
      </c>
      <c r="W84" s="4"/>
      <c r="X84" s="4"/>
      <c r="Y84" s="4" t="s">
        <v>62</v>
      </c>
      <c r="Z84" s="4"/>
      <c r="AA84" s="4" t="s">
        <v>59</v>
      </c>
      <c r="AB84" s="5" t="e">
        <v>#NULL!</v>
      </c>
      <c r="AC84" s="4"/>
      <c r="AD84" s="5" t="e">
        <v>#NULL!</v>
      </c>
      <c r="AE84" s="4"/>
      <c r="AF84" s="5" t="e">
        <v>#NULL!</v>
      </c>
      <c r="AG84" s="5" t="e">
        <v>#NULL!</v>
      </c>
      <c r="AH84" s="5" t="e">
        <v>#NULL!</v>
      </c>
      <c r="AI84" s="2">
        <v>0</v>
      </c>
      <c r="AJ84" s="4"/>
      <c r="AK84" s="2">
        <v>1</v>
      </c>
      <c r="AL84" s="2">
        <v>-3.75</v>
      </c>
      <c r="AM84" s="2">
        <v>-4.5</v>
      </c>
      <c r="AN84" s="4"/>
      <c r="AO84" s="2">
        <v>2</v>
      </c>
      <c r="AP84" s="3">
        <v>1.0986122886681098</v>
      </c>
      <c r="AQ84" s="5" t="e">
        <v>#NULL!</v>
      </c>
      <c r="AR84" s="5" t="e">
        <v>#NULL!</v>
      </c>
      <c r="AS84" s="2">
        <v>36</v>
      </c>
      <c r="AT84" s="2">
        <v>34</v>
      </c>
      <c r="AU84" s="2">
        <v>35</v>
      </c>
      <c r="AV84" s="2">
        <v>7</v>
      </c>
      <c r="AW84" s="2">
        <v>3</v>
      </c>
      <c r="AX84" s="3">
        <v>1.0986122886681098</v>
      </c>
      <c r="AY84" s="2">
        <v>4</v>
      </c>
      <c r="AZ84" s="3">
        <v>1.3862943611198906</v>
      </c>
      <c r="BA84" s="4" t="s">
        <v>78</v>
      </c>
      <c r="BB84" s="6">
        <v>80.606999999999999</v>
      </c>
      <c r="BC84" s="6">
        <v>48.369</v>
      </c>
      <c r="BD84" s="7">
        <v>32.671999999999997</v>
      </c>
    </row>
    <row r="85" spans="1:56" x14ac:dyDescent="0.25">
      <c r="A85" s="74" t="s">
        <v>79</v>
      </c>
      <c r="B85" s="88">
        <v>0</v>
      </c>
      <c r="C85" s="81">
        <v>0</v>
      </c>
      <c r="D85" s="14">
        <v>0</v>
      </c>
      <c r="E85" s="14">
        <v>23</v>
      </c>
      <c r="F85" s="14">
        <v>0</v>
      </c>
      <c r="G85" s="14">
        <v>56</v>
      </c>
      <c r="H85" s="15">
        <v>1.69</v>
      </c>
      <c r="I85" s="14">
        <v>0</v>
      </c>
      <c r="J85" s="14">
        <v>1</v>
      </c>
      <c r="K85" s="14">
        <v>0</v>
      </c>
      <c r="L85" s="14">
        <v>0</v>
      </c>
      <c r="M85" s="14">
        <v>6</v>
      </c>
      <c r="N85" s="14">
        <v>4</v>
      </c>
      <c r="O85" s="16" t="s">
        <v>56</v>
      </c>
      <c r="P85" s="14">
        <v>1</v>
      </c>
      <c r="Q85" s="14">
        <v>1</v>
      </c>
      <c r="R85" s="16" t="s">
        <v>57</v>
      </c>
      <c r="S85" s="16" t="s">
        <v>57</v>
      </c>
      <c r="T85" s="17">
        <v>19.579999999999998</v>
      </c>
      <c r="U85" s="18" t="e">
        <v>#NULL!</v>
      </c>
      <c r="V85" s="18" t="e">
        <v>#NULL!</v>
      </c>
      <c r="W85" s="4"/>
      <c r="X85" s="4"/>
      <c r="Y85" s="4"/>
      <c r="Z85" s="4"/>
      <c r="AA85" s="4" t="s">
        <v>59</v>
      </c>
      <c r="AB85" s="5" t="e">
        <v>#NULL!</v>
      </c>
      <c r="AC85" s="4"/>
      <c r="AD85" s="5" t="e">
        <v>#NULL!</v>
      </c>
      <c r="AE85" s="4"/>
      <c r="AF85" s="5" t="e">
        <v>#NULL!</v>
      </c>
      <c r="AG85" s="5" t="e">
        <v>#NULL!</v>
      </c>
      <c r="AH85" s="5" t="e">
        <v>#NULL!</v>
      </c>
      <c r="AI85" s="2">
        <v>0</v>
      </c>
      <c r="AJ85" s="4"/>
      <c r="AK85" s="2">
        <v>0</v>
      </c>
      <c r="AL85" s="2">
        <v>0</v>
      </c>
      <c r="AM85" s="2">
        <v>0</v>
      </c>
      <c r="AN85" s="4"/>
      <c r="AO85" s="2">
        <v>4</v>
      </c>
      <c r="AP85" s="3">
        <v>1.6094379124341003</v>
      </c>
      <c r="AQ85" s="5" t="e">
        <v>#NULL!</v>
      </c>
      <c r="AR85" s="5" t="e">
        <v>#NULL!</v>
      </c>
      <c r="AS85" s="2">
        <v>34</v>
      </c>
      <c r="AT85" s="2">
        <v>23</v>
      </c>
      <c r="AU85" s="2">
        <v>32</v>
      </c>
      <c r="AV85" s="2">
        <v>4</v>
      </c>
      <c r="AW85" s="2">
        <v>3</v>
      </c>
      <c r="AX85" s="3">
        <v>1.0986122886681098</v>
      </c>
      <c r="AY85" s="2">
        <v>3</v>
      </c>
      <c r="AZ85" s="3">
        <v>1.0986122886681098</v>
      </c>
      <c r="BA85" s="4" t="s">
        <v>79</v>
      </c>
      <c r="BB85" s="6">
        <v>63.250999999999998</v>
      </c>
      <c r="BC85" s="6">
        <v>74.119</v>
      </c>
      <c r="BD85" s="7">
        <v>65.278999999999996</v>
      </c>
    </row>
    <row r="86" spans="1:56" x14ac:dyDescent="0.25">
      <c r="A86" s="74" t="s">
        <v>80</v>
      </c>
      <c r="B86" s="88">
        <v>0</v>
      </c>
      <c r="C86" s="81">
        <v>0</v>
      </c>
      <c r="D86" s="14">
        <v>0</v>
      </c>
      <c r="E86" s="14">
        <v>36</v>
      </c>
      <c r="F86" s="14">
        <v>1</v>
      </c>
      <c r="G86" s="14">
        <v>76</v>
      </c>
      <c r="H86" s="15">
        <v>1.78</v>
      </c>
      <c r="I86" s="14">
        <v>0</v>
      </c>
      <c r="J86" s="14">
        <v>1</v>
      </c>
      <c r="K86" s="14">
        <v>0</v>
      </c>
      <c r="L86" s="14">
        <v>0</v>
      </c>
      <c r="M86" s="14">
        <v>14</v>
      </c>
      <c r="N86" s="14">
        <v>14</v>
      </c>
      <c r="O86" s="16" t="s">
        <v>56</v>
      </c>
      <c r="P86" s="14">
        <v>5</v>
      </c>
      <c r="Q86" s="14">
        <v>1</v>
      </c>
      <c r="R86" s="16" t="s">
        <v>56</v>
      </c>
      <c r="S86" s="16" t="s">
        <v>57</v>
      </c>
      <c r="T86" s="17">
        <v>23.97</v>
      </c>
      <c r="U86" s="18" t="e">
        <v>#NULL!</v>
      </c>
      <c r="V86" s="18" t="e">
        <v>#NULL!</v>
      </c>
      <c r="W86" s="4"/>
      <c r="X86" s="4"/>
      <c r="Y86" s="4" t="s">
        <v>81</v>
      </c>
      <c r="Z86" s="4"/>
      <c r="AA86" s="4" t="s">
        <v>59</v>
      </c>
      <c r="AB86" s="5" t="e">
        <v>#NULL!</v>
      </c>
      <c r="AC86" s="4"/>
      <c r="AD86" s="5" t="e">
        <v>#NULL!</v>
      </c>
      <c r="AE86" s="4"/>
      <c r="AF86" s="5" t="e">
        <v>#NULL!</v>
      </c>
      <c r="AG86" s="5" t="e">
        <v>#NULL!</v>
      </c>
      <c r="AH86" s="5" t="e">
        <v>#NULL!</v>
      </c>
      <c r="AI86" s="2">
        <v>0</v>
      </c>
      <c r="AJ86" s="4"/>
      <c r="AK86" s="2">
        <v>0</v>
      </c>
      <c r="AL86" s="2">
        <v>0</v>
      </c>
      <c r="AM86" s="2">
        <v>0</v>
      </c>
      <c r="AN86" s="4"/>
      <c r="AO86" s="2">
        <v>6</v>
      </c>
      <c r="AP86" s="3">
        <v>1.9459101490553132</v>
      </c>
      <c r="AQ86" s="5" t="e">
        <v>#NULL!</v>
      </c>
      <c r="AR86" s="5" t="e">
        <v>#NULL!</v>
      </c>
      <c r="AS86" s="2">
        <v>31</v>
      </c>
      <c r="AT86" s="2">
        <v>35</v>
      </c>
      <c r="AU86" s="2">
        <v>31</v>
      </c>
      <c r="AV86" s="2">
        <v>6</v>
      </c>
      <c r="AW86" s="2">
        <v>2</v>
      </c>
      <c r="AX86" s="3">
        <v>0.69314718055994529</v>
      </c>
      <c r="AY86" s="2">
        <v>3</v>
      </c>
      <c r="AZ86" s="3">
        <v>1.0986122886681098</v>
      </c>
      <c r="BA86" s="4" t="s">
        <v>80</v>
      </c>
      <c r="BB86" s="6">
        <v>49.866</v>
      </c>
      <c r="BC86" s="6">
        <v>66.167000000000002</v>
      </c>
      <c r="BD86" s="7">
        <v>63.853999999999999</v>
      </c>
    </row>
    <row r="87" spans="1:56" x14ac:dyDescent="0.25">
      <c r="A87" s="74" t="s">
        <v>82</v>
      </c>
      <c r="B87" s="88">
        <v>0</v>
      </c>
      <c r="C87" s="81">
        <v>0</v>
      </c>
      <c r="D87" s="14">
        <v>0</v>
      </c>
      <c r="E87" s="14">
        <v>48</v>
      </c>
      <c r="F87" s="14">
        <v>1</v>
      </c>
      <c r="G87" s="14">
        <v>72</v>
      </c>
      <c r="H87" s="15">
        <v>1.82</v>
      </c>
      <c r="I87" s="14">
        <v>1</v>
      </c>
      <c r="J87" s="14">
        <v>0</v>
      </c>
      <c r="K87" s="14">
        <v>0</v>
      </c>
      <c r="L87" s="14">
        <v>0</v>
      </c>
      <c r="M87" s="14">
        <v>3</v>
      </c>
      <c r="N87" s="14">
        <v>2</v>
      </c>
      <c r="O87" s="16" t="s">
        <v>56</v>
      </c>
      <c r="P87" s="14">
        <v>1</v>
      </c>
      <c r="Q87" s="14">
        <v>1</v>
      </c>
      <c r="R87" s="16" t="s">
        <v>57</v>
      </c>
      <c r="S87" s="16" t="s">
        <v>57</v>
      </c>
      <c r="T87" s="17">
        <v>21.75</v>
      </c>
      <c r="U87" s="18" t="e">
        <v>#NULL!</v>
      </c>
      <c r="V87" s="18" t="e">
        <v>#NULL!</v>
      </c>
      <c r="W87" s="4"/>
      <c r="X87" s="4"/>
      <c r="Y87" s="4" t="s">
        <v>83</v>
      </c>
      <c r="Z87" s="4"/>
      <c r="AA87" s="4" t="s">
        <v>59</v>
      </c>
      <c r="AB87" s="5" t="e">
        <v>#NULL!</v>
      </c>
      <c r="AC87" s="4"/>
      <c r="AD87" s="5" t="e">
        <v>#NULL!</v>
      </c>
      <c r="AE87" s="4"/>
      <c r="AF87" s="5" t="e">
        <v>#NULL!</v>
      </c>
      <c r="AG87" s="5" t="e">
        <v>#NULL!</v>
      </c>
      <c r="AH87" s="5" t="e">
        <v>#NULL!</v>
      </c>
      <c r="AI87" s="2">
        <v>2</v>
      </c>
      <c r="AJ87" s="4" t="s">
        <v>84</v>
      </c>
      <c r="AK87" s="2">
        <v>2</v>
      </c>
      <c r="AL87" s="2">
        <v>7</v>
      </c>
      <c r="AM87" s="2">
        <v>7</v>
      </c>
      <c r="AN87" s="4" t="s">
        <v>85</v>
      </c>
      <c r="AO87" s="2">
        <v>0</v>
      </c>
      <c r="AP87" s="3">
        <v>0</v>
      </c>
      <c r="AQ87" s="5" t="e">
        <v>#NULL!</v>
      </c>
      <c r="AR87" s="5" t="e">
        <v>#NULL!</v>
      </c>
      <c r="AS87" s="2">
        <v>39</v>
      </c>
      <c r="AT87" s="2">
        <v>40</v>
      </c>
      <c r="AU87" s="2">
        <v>36</v>
      </c>
      <c r="AV87" s="2">
        <v>3</v>
      </c>
      <c r="AW87" s="2">
        <v>1</v>
      </c>
      <c r="AX87" s="3">
        <v>0</v>
      </c>
      <c r="AY87" s="2">
        <v>1</v>
      </c>
      <c r="AZ87" s="3">
        <v>0</v>
      </c>
      <c r="BA87" s="4" t="s">
        <v>82</v>
      </c>
      <c r="BB87" s="6">
        <v>55.777000000000001</v>
      </c>
      <c r="BC87" s="6">
        <v>41.305999999999997</v>
      </c>
      <c r="BD87" s="7">
        <v>19.666</v>
      </c>
    </row>
    <row r="88" spans="1:56" x14ac:dyDescent="0.25">
      <c r="A88" s="74" t="s">
        <v>86</v>
      </c>
      <c r="B88" s="88">
        <v>0</v>
      </c>
      <c r="C88" s="81">
        <v>0</v>
      </c>
      <c r="D88" s="14">
        <v>0</v>
      </c>
      <c r="E88" s="14">
        <v>34</v>
      </c>
      <c r="F88" s="14">
        <v>0</v>
      </c>
      <c r="G88" s="14">
        <v>63</v>
      </c>
      <c r="H88" s="15">
        <v>1.68</v>
      </c>
      <c r="I88" s="14">
        <v>1</v>
      </c>
      <c r="J88" s="14">
        <v>0</v>
      </c>
      <c r="K88" s="14">
        <v>0</v>
      </c>
      <c r="L88" s="14">
        <v>0</v>
      </c>
      <c r="M88" s="14">
        <v>4</v>
      </c>
      <c r="N88" s="14">
        <v>3</v>
      </c>
      <c r="O88" s="16" t="s">
        <v>56</v>
      </c>
      <c r="P88" s="14">
        <v>2</v>
      </c>
      <c r="Q88" s="14">
        <v>1</v>
      </c>
      <c r="R88" s="16" t="s">
        <v>57</v>
      </c>
      <c r="S88" s="16" t="s">
        <v>57</v>
      </c>
      <c r="T88" s="17">
        <v>22.34</v>
      </c>
      <c r="U88" s="18" t="e">
        <v>#NULL!</v>
      </c>
      <c r="V88" s="18" t="e">
        <v>#NULL!</v>
      </c>
      <c r="W88" s="4"/>
      <c r="X88" s="4"/>
      <c r="Y88" s="4"/>
      <c r="Z88" s="4"/>
      <c r="AA88" s="4" t="s">
        <v>59</v>
      </c>
      <c r="AB88" s="5" t="e">
        <v>#NULL!</v>
      </c>
      <c r="AC88" s="4"/>
      <c r="AD88" s="5" t="e">
        <v>#NULL!</v>
      </c>
      <c r="AE88" s="4"/>
      <c r="AF88" s="5" t="e">
        <v>#NULL!</v>
      </c>
      <c r="AG88" s="5" t="e">
        <v>#NULL!</v>
      </c>
      <c r="AH88" s="5" t="e">
        <v>#NULL!</v>
      </c>
      <c r="AI88" s="2">
        <v>2</v>
      </c>
      <c r="AJ88" s="4" t="s">
        <v>87</v>
      </c>
      <c r="AK88" s="2">
        <v>0</v>
      </c>
      <c r="AL88" s="2">
        <v>0</v>
      </c>
      <c r="AM88" s="2">
        <v>0</v>
      </c>
      <c r="AN88" s="4" t="s">
        <v>88</v>
      </c>
      <c r="AO88" s="2">
        <v>1</v>
      </c>
      <c r="AP88" s="3">
        <v>0.69314718055994529</v>
      </c>
      <c r="AQ88" s="5" t="e">
        <v>#NULL!</v>
      </c>
      <c r="AR88" s="5" t="e">
        <v>#NULL!</v>
      </c>
      <c r="AS88" s="2">
        <v>34</v>
      </c>
      <c r="AT88" s="2">
        <v>25</v>
      </c>
      <c r="AU88" s="2">
        <v>30</v>
      </c>
      <c r="AV88" s="2">
        <v>5</v>
      </c>
      <c r="AW88" s="2">
        <v>3</v>
      </c>
      <c r="AX88" s="3">
        <v>1.0986122886681098</v>
      </c>
      <c r="AY88" s="2">
        <v>2</v>
      </c>
      <c r="AZ88" s="3">
        <v>0.69314718055994529</v>
      </c>
      <c r="BA88" s="4" t="s">
        <v>86</v>
      </c>
      <c r="BB88" s="6">
        <v>75.638000000000005</v>
      </c>
      <c r="BC88" s="6">
        <v>59.112000000000002</v>
      </c>
      <c r="BD88" s="7">
        <v>36.722999999999999</v>
      </c>
    </row>
    <row r="89" spans="1:56" x14ac:dyDescent="0.25">
      <c r="A89" s="74" t="s">
        <v>89</v>
      </c>
      <c r="B89" s="88">
        <v>0</v>
      </c>
      <c r="C89" s="81">
        <v>0</v>
      </c>
      <c r="D89" s="14">
        <v>0</v>
      </c>
      <c r="E89" s="14">
        <v>30</v>
      </c>
      <c r="F89" s="14">
        <v>0</v>
      </c>
      <c r="G89" s="14">
        <v>56</v>
      </c>
      <c r="H89" s="15">
        <v>1.68</v>
      </c>
      <c r="I89" s="14">
        <v>0</v>
      </c>
      <c r="J89" s="14">
        <v>1</v>
      </c>
      <c r="K89" s="14">
        <v>0</v>
      </c>
      <c r="L89" s="14">
        <v>0</v>
      </c>
      <c r="M89" s="14">
        <v>3</v>
      </c>
      <c r="N89" s="14">
        <v>2</v>
      </c>
      <c r="O89" s="16" t="s">
        <v>57</v>
      </c>
      <c r="P89" s="14">
        <v>0</v>
      </c>
      <c r="Q89" s="14">
        <v>1</v>
      </c>
      <c r="R89" s="16" t="s">
        <v>57</v>
      </c>
      <c r="S89" s="16" t="s">
        <v>57</v>
      </c>
      <c r="T89" s="17">
        <v>19.86</v>
      </c>
      <c r="U89" s="18" t="e">
        <v>#NULL!</v>
      </c>
      <c r="V89" s="18" t="e">
        <v>#NULL!</v>
      </c>
      <c r="W89" s="4"/>
      <c r="X89" s="4"/>
      <c r="Y89" s="4" t="s">
        <v>62</v>
      </c>
      <c r="Z89" s="4"/>
      <c r="AA89" s="4" t="s">
        <v>59</v>
      </c>
      <c r="AB89" s="5" t="e">
        <v>#NULL!</v>
      </c>
      <c r="AC89" s="4"/>
      <c r="AD89" s="5" t="e">
        <v>#NULL!</v>
      </c>
      <c r="AE89" s="4"/>
      <c r="AF89" s="5" t="e">
        <v>#NULL!</v>
      </c>
      <c r="AG89" s="5" t="e">
        <v>#NULL!</v>
      </c>
      <c r="AH89" s="5" t="e">
        <v>#NULL!</v>
      </c>
      <c r="AI89" s="2">
        <v>0</v>
      </c>
      <c r="AJ89" s="4"/>
      <c r="AK89" s="2">
        <v>1</v>
      </c>
      <c r="AL89" s="2">
        <v>-4.75</v>
      </c>
      <c r="AM89" s="2">
        <v>-4.75</v>
      </c>
      <c r="AN89" s="4" t="s">
        <v>90</v>
      </c>
      <c r="AO89" s="2">
        <v>5</v>
      </c>
      <c r="AP89" s="3">
        <v>1.791759469228055</v>
      </c>
      <c r="AQ89" s="5" t="e">
        <v>#NULL!</v>
      </c>
      <c r="AR89" s="5" t="e">
        <v>#NULL!</v>
      </c>
      <c r="AS89" s="2">
        <v>36</v>
      </c>
      <c r="AT89" s="2">
        <v>30</v>
      </c>
      <c r="AU89" s="2">
        <v>36</v>
      </c>
      <c r="AV89" s="2">
        <v>9</v>
      </c>
      <c r="AW89" s="2">
        <v>2</v>
      </c>
      <c r="AX89" s="3">
        <v>0.69314718055994529</v>
      </c>
      <c r="AY89" s="2">
        <v>3</v>
      </c>
      <c r="AZ89" s="3">
        <v>1.0986122886681098</v>
      </c>
      <c r="BA89" s="4" t="s">
        <v>89</v>
      </c>
      <c r="BB89" s="6">
        <v>70.55</v>
      </c>
      <c r="BC89" s="6">
        <v>44.537999999999997</v>
      </c>
      <c r="BD89" s="7">
        <v>37.283000000000001</v>
      </c>
    </row>
    <row r="90" spans="1:56" x14ac:dyDescent="0.25">
      <c r="A90" s="74" t="s">
        <v>91</v>
      </c>
      <c r="B90" s="88">
        <v>0</v>
      </c>
      <c r="C90" s="81">
        <v>0</v>
      </c>
      <c r="D90" s="14">
        <v>0</v>
      </c>
      <c r="E90" s="14">
        <v>46</v>
      </c>
      <c r="F90" s="14">
        <v>1</v>
      </c>
      <c r="G90" s="14">
        <v>70</v>
      </c>
      <c r="H90" s="15">
        <v>1.75</v>
      </c>
      <c r="I90" s="14">
        <v>0</v>
      </c>
      <c r="J90" s="14">
        <v>1</v>
      </c>
      <c r="K90" s="14">
        <v>1</v>
      </c>
      <c r="L90" s="14">
        <v>3</v>
      </c>
      <c r="M90" s="14">
        <v>27</v>
      </c>
      <c r="N90" s="14">
        <v>15</v>
      </c>
      <c r="O90" s="16" t="s">
        <v>56</v>
      </c>
      <c r="P90" s="14">
        <v>2</v>
      </c>
      <c r="Q90" s="14">
        <v>1</v>
      </c>
      <c r="R90" s="16" t="s">
        <v>57</v>
      </c>
      <c r="S90" s="16" t="s">
        <v>57</v>
      </c>
      <c r="T90" s="17">
        <v>22.88</v>
      </c>
      <c r="U90" s="18" t="e">
        <v>#NULL!</v>
      </c>
      <c r="V90" s="18" t="e">
        <v>#NULL!</v>
      </c>
      <c r="W90" s="4"/>
      <c r="X90" s="4"/>
      <c r="Y90" s="4" t="s">
        <v>92</v>
      </c>
      <c r="Z90" s="4"/>
      <c r="AA90" s="4" t="s">
        <v>59</v>
      </c>
      <c r="AB90" s="5" t="e">
        <v>#NULL!</v>
      </c>
      <c r="AC90" s="4"/>
      <c r="AD90" s="5" t="e">
        <v>#NULL!</v>
      </c>
      <c r="AE90" s="4"/>
      <c r="AF90" s="5" t="e">
        <v>#NULL!</v>
      </c>
      <c r="AG90" s="5" t="e">
        <v>#NULL!</v>
      </c>
      <c r="AH90" s="5" t="e">
        <v>#NULL!</v>
      </c>
      <c r="AI90" s="2">
        <v>0</v>
      </c>
      <c r="AJ90" s="4"/>
      <c r="AK90" s="2">
        <v>2</v>
      </c>
      <c r="AL90" s="5" t="e">
        <v>#NULL!</v>
      </c>
      <c r="AM90" s="5" t="e">
        <v>#NULL!</v>
      </c>
      <c r="AN90" s="4" t="s">
        <v>93</v>
      </c>
      <c r="AO90" s="2">
        <v>2</v>
      </c>
      <c r="AP90" s="3">
        <v>1.0986122886681098</v>
      </c>
      <c r="AQ90" s="5" t="e">
        <v>#NULL!</v>
      </c>
      <c r="AR90" s="5" t="e">
        <v>#NULL!</v>
      </c>
      <c r="AS90" s="2">
        <v>35</v>
      </c>
      <c r="AT90" s="2">
        <v>35</v>
      </c>
      <c r="AU90" s="2">
        <v>34</v>
      </c>
      <c r="AV90" s="2">
        <v>6</v>
      </c>
      <c r="AW90" s="2">
        <v>2</v>
      </c>
      <c r="AX90" s="3">
        <v>0.69314718055994529</v>
      </c>
      <c r="AY90" s="2">
        <v>2</v>
      </c>
      <c r="AZ90" s="3">
        <v>0.69314718055994529</v>
      </c>
      <c r="BA90" s="4" t="s">
        <v>91</v>
      </c>
      <c r="BB90" s="6">
        <v>63.097000000000001</v>
      </c>
      <c r="BC90" s="6">
        <v>52.994</v>
      </c>
      <c r="BD90" s="7">
        <v>33.962000000000003</v>
      </c>
    </row>
    <row r="91" spans="1:56" x14ac:dyDescent="0.25">
      <c r="A91" s="74" t="s">
        <v>94</v>
      </c>
      <c r="B91" s="88">
        <v>0</v>
      </c>
      <c r="C91" s="81">
        <v>0</v>
      </c>
      <c r="D91" s="14">
        <v>0</v>
      </c>
      <c r="E91" s="14">
        <v>38</v>
      </c>
      <c r="F91" s="14">
        <v>0</v>
      </c>
      <c r="G91" s="14">
        <v>60</v>
      </c>
      <c r="H91" s="15">
        <v>1.69</v>
      </c>
      <c r="I91" s="14">
        <v>0</v>
      </c>
      <c r="J91" s="14">
        <v>1</v>
      </c>
      <c r="K91" s="14">
        <v>0</v>
      </c>
      <c r="L91" s="14">
        <v>0</v>
      </c>
      <c r="M91" s="14">
        <v>1</v>
      </c>
      <c r="N91" s="14">
        <v>0</v>
      </c>
      <c r="O91" s="16" t="s">
        <v>56</v>
      </c>
      <c r="P91" s="14">
        <v>3</v>
      </c>
      <c r="Q91" s="14">
        <v>0</v>
      </c>
      <c r="R91" s="16" t="s">
        <v>57</v>
      </c>
      <c r="S91" s="16" t="s">
        <v>57</v>
      </c>
      <c r="T91" s="17">
        <v>20.98</v>
      </c>
      <c r="U91" s="18" t="e">
        <v>#NULL!</v>
      </c>
      <c r="V91" s="18" t="e">
        <v>#NULL!</v>
      </c>
      <c r="W91" s="4"/>
      <c r="X91" s="4"/>
      <c r="Y91" s="4"/>
      <c r="Z91" s="4"/>
      <c r="AA91" s="4" t="s">
        <v>59</v>
      </c>
      <c r="AB91" s="5" t="e">
        <v>#NULL!</v>
      </c>
      <c r="AC91" s="4"/>
      <c r="AD91" s="5" t="e">
        <v>#NULL!</v>
      </c>
      <c r="AE91" s="4"/>
      <c r="AF91" s="5" t="e">
        <v>#NULL!</v>
      </c>
      <c r="AG91" s="5" t="e">
        <v>#NULL!</v>
      </c>
      <c r="AH91" s="5" t="e">
        <v>#NULL!</v>
      </c>
      <c r="AI91" s="2">
        <v>0</v>
      </c>
      <c r="AJ91" s="4"/>
      <c r="AK91" s="2">
        <v>0</v>
      </c>
      <c r="AL91" s="2">
        <v>0</v>
      </c>
      <c r="AM91" s="2">
        <v>0</v>
      </c>
      <c r="AN91" s="4"/>
      <c r="AO91" s="2">
        <v>2</v>
      </c>
      <c r="AP91" s="3">
        <v>1.0986122886681098</v>
      </c>
      <c r="AQ91" s="5" t="e">
        <v>#NULL!</v>
      </c>
      <c r="AR91" s="5" t="e">
        <v>#NULL!</v>
      </c>
      <c r="AS91" s="2">
        <v>36</v>
      </c>
      <c r="AT91" s="2">
        <v>30</v>
      </c>
      <c r="AU91" s="2">
        <v>34</v>
      </c>
      <c r="AV91" s="2">
        <v>8</v>
      </c>
      <c r="AW91" s="2">
        <v>2</v>
      </c>
      <c r="AX91" s="3">
        <v>0.69314718055994529</v>
      </c>
      <c r="AY91" s="2">
        <v>3</v>
      </c>
      <c r="AZ91" s="3">
        <v>1.0986122886681098</v>
      </c>
      <c r="BA91" s="4" t="s">
        <v>94</v>
      </c>
      <c r="BB91" s="6">
        <v>75.16</v>
      </c>
      <c r="BC91" s="6">
        <v>27.555</v>
      </c>
      <c r="BD91" s="7">
        <v>21.225999999999999</v>
      </c>
    </row>
    <row r="92" spans="1:56" x14ac:dyDescent="0.25">
      <c r="A92" s="74" t="s">
        <v>95</v>
      </c>
      <c r="B92" s="88">
        <v>0</v>
      </c>
      <c r="C92" s="81">
        <v>0</v>
      </c>
      <c r="D92" s="14">
        <v>0</v>
      </c>
      <c r="E92" s="14">
        <v>33</v>
      </c>
      <c r="F92" s="14">
        <v>1</v>
      </c>
      <c r="G92" s="14">
        <v>83</v>
      </c>
      <c r="H92" s="15">
        <v>1.79</v>
      </c>
      <c r="I92" s="14">
        <v>0</v>
      </c>
      <c r="J92" s="14">
        <v>1</v>
      </c>
      <c r="K92" s="14">
        <v>0</v>
      </c>
      <c r="L92" s="14">
        <v>0</v>
      </c>
      <c r="M92" s="14">
        <v>10</v>
      </c>
      <c r="N92" s="14">
        <v>10</v>
      </c>
      <c r="O92" s="16" t="s">
        <v>57</v>
      </c>
      <c r="P92" s="14">
        <v>0</v>
      </c>
      <c r="Q92" s="14">
        <v>1</v>
      </c>
      <c r="R92" s="16" t="s">
        <v>56</v>
      </c>
      <c r="S92" s="16" t="s">
        <v>57</v>
      </c>
      <c r="T92" s="17">
        <v>25.94</v>
      </c>
      <c r="U92" s="18" t="e">
        <v>#NULL!</v>
      </c>
      <c r="V92" s="18" t="e">
        <v>#NULL!</v>
      </c>
      <c r="W92" s="4"/>
      <c r="X92" s="4"/>
      <c r="Y92" s="4" t="s">
        <v>96</v>
      </c>
      <c r="Z92" s="4"/>
      <c r="AA92" s="4" t="s">
        <v>59</v>
      </c>
      <c r="AB92" s="5" t="e">
        <v>#NULL!</v>
      </c>
      <c r="AC92" s="4"/>
      <c r="AD92" s="5" t="e">
        <v>#NULL!</v>
      </c>
      <c r="AE92" s="4"/>
      <c r="AF92" s="5" t="e">
        <v>#NULL!</v>
      </c>
      <c r="AG92" s="5" t="e">
        <v>#NULL!</v>
      </c>
      <c r="AH92" s="5" t="e">
        <v>#NULL!</v>
      </c>
      <c r="AI92" s="2">
        <v>0</v>
      </c>
      <c r="AJ92" s="4"/>
      <c r="AK92" s="2">
        <v>0</v>
      </c>
      <c r="AL92" s="2">
        <v>0</v>
      </c>
      <c r="AM92" s="2">
        <v>0</v>
      </c>
      <c r="AN92" s="4"/>
      <c r="AO92" s="2">
        <v>8</v>
      </c>
      <c r="AP92" s="3">
        <v>2.1972245773362196</v>
      </c>
      <c r="AQ92" s="5" t="e">
        <v>#NULL!</v>
      </c>
      <c r="AR92" s="5" t="e">
        <v>#NULL!</v>
      </c>
      <c r="AS92" s="2">
        <v>32</v>
      </c>
      <c r="AT92" s="2">
        <v>35</v>
      </c>
      <c r="AU92" s="2">
        <v>36</v>
      </c>
      <c r="AV92" s="2">
        <v>6</v>
      </c>
      <c r="AW92" s="2">
        <v>1</v>
      </c>
      <c r="AX92" s="3">
        <v>0</v>
      </c>
      <c r="AY92" s="2">
        <v>2</v>
      </c>
      <c r="AZ92" s="3">
        <v>0.69314718055994529</v>
      </c>
      <c r="BA92" s="4" t="s">
        <v>95</v>
      </c>
      <c r="BB92" s="6">
        <v>87.024000000000001</v>
      </c>
      <c r="BC92" s="6">
        <v>36.173000000000002</v>
      </c>
      <c r="BD92" s="7">
        <v>20.62</v>
      </c>
    </row>
    <row r="93" spans="1:56" x14ac:dyDescent="0.25">
      <c r="A93" s="74" t="s">
        <v>97</v>
      </c>
      <c r="B93" s="88">
        <v>0</v>
      </c>
      <c r="C93" s="81">
        <v>0</v>
      </c>
      <c r="D93" s="14">
        <v>0</v>
      </c>
      <c r="E93" s="14">
        <v>31</v>
      </c>
      <c r="F93" s="14">
        <v>1</v>
      </c>
      <c r="G93" s="14">
        <v>85</v>
      </c>
      <c r="H93" s="15">
        <v>1.88</v>
      </c>
      <c r="I93" s="14">
        <v>0</v>
      </c>
      <c r="J93" s="14">
        <v>1</v>
      </c>
      <c r="K93" s="14">
        <v>0</v>
      </c>
      <c r="L93" s="14">
        <v>0</v>
      </c>
      <c r="M93" s="14">
        <v>3</v>
      </c>
      <c r="N93" s="14">
        <v>2</v>
      </c>
      <c r="O93" s="16" t="s">
        <v>57</v>
      </c>
      <c r="P93" s="14">
        <v>0</v>
      </c>
      <c r="Q93" s="14">
        <v>1</v>
      </c>
      <c r="R93" s="16" t="s">
        <v>57</v>
      </c>
      <c r="S93" s="16" t="s">
        <v>57</v>
      </c>
      <c r="T93" s="17">
        <v>24.08</v>
      </c>
      <c r="U93" s="18" t="e">
        <v>#NULL!</v>
      </c>
      <c r="V93" s="18" t="e">
        <v>#NULL!</v>
      </c>
      <c r="W93" s="4"/>
      <c r="X93" s="4"/>
      <c r="Y93" s="4"/>
      <c r="Z93" s="4"/>
      <c r="AA93" s="4" t="s">
        <v>59</v>
      </c>
      <c r="AB93" s="5" t="e">
        <v>#NULL!</v>
      </c>
      <c r="AC93" s="4"/>
      <c r="AD93" s="5" t="e">
        <v>#NULL!</v>
      </c>
      <c r="AE93" s="4"/>
      <c r="AF93" s="5" t="e">
        <v>#NULL!</v>
      </c>
      <c r="AG93" s="5" t="e">
        <v>#NULL!</v>
      </c>
      <c r="AH93" s="5" t="e">
        <v>#NULL!</v>
      </c>
      <c r="AI93" s="2">
        <v>0</v>
      </c>
      <c r="AJ93" s="4"/>
      <c r="AK93" s="2">
        <v>1</v>
      </c>
      <c r="AL93" s="2">
        <v>-0.5</v>
      </c>
      <c r="AM93" s="2">
        <v>-0.75</v>
      </c>
      <c r="AN93" s="4"/>
      <c r="AO93" s="2">
        <v>5</v>
      </c>
      <c r="AP93" s="3">
        <v>1.791759469228055</v>
      </c>
      <c r="AQ93" s="5" t="e">
        <v>#NULL!</v>
      </c>
      <c r="AR93" s="5" t="e">
        <v>#NULL!</v>
      </c>
      <c r="AS93" s="2">
        <v>38</v>
      </c>
      <c r="AT93" s="2">
        <v>38</v>
      </c>
      <c r="AU93" s="2">
        <v>32</v>
      </c>
      <c r="AV93" s="2">
        <v>7</v>
      </c>
      <c r="AW93" s="2">
        <v>2</v>
      </c>
      <c r="AX93" s="3">
        <v>0.69314718055994529</v>
      </c>
      <c r="AY93" s="2">
        <v>2</v>
      </c>
      <c r="AZ93" s="3">
        <v>0.69314718055994529</v>
      </c>
      <c r="BA93" s="4" t="s">
        <v>97</v>
      </c>
      <c r="BB93" s="6">
        <v>54.527000000000001</v>
      </c>
      <c r="BC93" s="6">
        <v>47.686999999999998</v>
      </c>
      <c r="BD93" s="7">
        <v>39.597000000000001</v>
      </c>
    </row>
    <row r="94" spans="1:56" x14ac:dyDescent="0.25">
      <c r="A94" s="74" t="s">
        <v>98</v>
      </c>
      <c r="B94" s="88">
        <v>0</v>
      </c>
      <c r="C94" s="81">
        <v>0</v>
      </c>
      <c r="D94" s="14">
        <v>0</v>
      </c>
      <c r="E94" s="14">
        <v>31</v>
      </c>
      <c r="F94" s="14">
        <v>0</v>
      </c>
      <c r="G94" s="14">
        <v>57</v>
      </c>
      <c r="H94" s="15">
        <v>1.74</v>
      </c>
      <c r="I94" s="14">
        <v>0</v>
      </c>
      <c r="J94" s="14">
        <v>1</v>
      </c>
      <c r="K94" s="14">
        <v>0</v>
      </c>
      <c r="L94" s="14">
        <v>0</v>
      </c>
      <c r="M94" s="14">
        <v>2</v>
      </c>
      <c r="N94" s="14">
        <v>2</v>
      </c>
      <c r="O94" s="16" t="s">
        <v>56</v>
      </c>
      <c r="P94" s="14">
        <v>2</v>
      </c>
      <c r="Q94" s="14">
        <v>0</v>
      </c>
      <c r="R94" s="16" t="s">
        <v>57</v>
      </c>
      <c r="S94" s="16" t="s">
        <v>57</v>
      </c>
      <c r="T94" s="17">
        <v>19.14</v>
      </c>
      <c r="U94" s="18" t="e">
        <v>#NULL!</v>
      </c>
      <c r="V94" s="18" t="e">
        <v>#NULL!</v>
      </c>
      <c r="W94" s="4"/>
      <c r="X94" s="4"/>
      <c r="Y94" s="4" t="s">
        <v>62</v>
      </c>
      <c r="Z94" s="4"/>
      <c r="AA94" s="4" t="s">
        <v>59</v>
      </c>
      <c r="AB94" s="5" t="e">
        <v>#NULL!</v>
      </c>
      <c r="AC94" s="4"/>
      <c r="AD94" s="5" t="e">
        <v>#NULL!</v>
      </c>
      <c r="AE94" s="4"/>
      <c r="AF94" s="5" t="e">
        <v>#NULL!</v>
      </c>
      <c r="AG94" s="5" t="e">
        <v>#NULL!</v>
      </c>
      <c r="AH94" s="5" t="e">
        <v>#NULL!</v>
      </c>
      <c r="AI94" s="2">
        <v>1</v>
      </c>
      <c r="AJ94" s="4" t="s">
        <v>99</v>
      </c>
      <c r="AK94" s="2">
        <v>1</v>
      </c>
      <c r="AL94" s="2">
        <v>-1.5</v>
      </c>
      <c r="AM94" s="2">
        <v>-1.25</v>
      </c>
      <c r="AN94" s="4" t="s">
        <v>100</v>
      </c>
      <c r="AO94" s="2">
        <v>4</v>
      </c>
      <c r="AP94" s="3">
        <v>1.6094379124341003</v>
      </c>
      <c r="AQ94" s="5" t="e">
        <v>#NULL!</v>
      </c>
      <c r="AR94" s="5" t="e">
        <v>#NULL!</v>
      </c>
      <c r="AS94" s="2">
        <v>35</v>
      </c>
      <c r="AT94" s="2">
        <v>22</v>
      </c>
      <c r="AU94" s="2">
        <v>35</v>
      </c>
      <c r="AV94" s="2">
        <v>10</v>
      </c>
      <c r="AW94" s="2">
        <v>3</v>
      </c>
      <c r="AX94" s="3">
        <v>1.0986122886681098</v>
      </c>
      <c r="AY94" s="2">
        <v>3</v>
      </c>
      <c r="AZ94" s="3">
        <v>1.0986122886681098</v>
      </c>
      <c r="BA94" s="4" t="s">
        <v>98</v>
      </c>
      <c r="BB94" s="6">
        <v>54.689</v>
      </c>
      <c r="BC94" s="6">
        <v>138.91</v>
      </c>
      <c r="BD94" s="7">
        <v>137.94</v>
      </c>
    </row>
    <row r="95" spans="1:56" x14ac:dyDescent="0.25">
      <c r="A95" s="74" t="s">
        <v>101</v>
      </c>
      <c r="B95" s="88">
        <v>0</v>
      </c>
      <c r="C95" s="81">
        <v>0</v>
      </c>
      <c r="D95" s="14">
        <v>0</v>
      </c>
      <c r="E95" s="14">
        <v>34</v>
      </c>
      <c r="F95" s="14">
        <v>0</v>
      </c>
      <c r="G95" s="14">
        <v>58</v>
      </c>
      <c r="H95" s="15">
        <v>1.68</v>
      </c>
      <c r="I95" s="14">
        <v>0</v>
      </c>
      <c r="J95" s="14">
        <v>1</v>
      </c>
      <c r="K95" s="14">
        <v>1</v>
      </c>
      <c r="L95" s="14">
        <v>3</v>
      </c>
      <c r="M95" s="14">
        <v>9</v>
      </c>
      <c r="N95" s="14">
        <v>5</v>
      </c>
      <c r="O95" s="16" t="s">
        <v>56</v>
      </c>
      <c r="P95" s="14">
        <v>1</v>
      </c>
      <c r="Q95" s="14">
        <v>1</v>
      </c>
      <c r="R95" s="16" t="s">
        <v>57</v>
      </c>
      <c r="S95" s="16" t="s">
        <v>57</v>
      </c>
      <c r="T95" s="17">
        <v>20.57</v>
      </c>
      <c r="U95" s="18" t="e">
        <v>#NULL!</v>
      </c>
      <c r="V95" s="18" t="e">
        <v>#NULL!</v>
      </c>
      <c r="W95" s="4"/>
      <c r="X95" s="4"/>
      <c r="Y95" s="4"/>
      <c r="Z95" s="4"/>
      <c r="AA95" s="4" t="s">
        <v>59</v>
      </c>
      <c r="AB95" s="5" t="e">
        <v>#NULL!</v>
      </c>
      <c r="AC95" s="4"/>
      <c r="AD95" s="5" t="e">
        <v>#NULL!</v>
      </c>
      <c r="AE95" s="4"/>
      <c r="AF95" s="5" t="e">
        <v>#NULL!</v>
      </c>
      <c r="AG95" s="5" t="e">
        <v>#NULL!</v>
      </c>
      <c r="AH95" s="5" t="e">
        <v>#NULL!</v>
      </c>
      <c r="AI95" s="2">
        <v>1</v>
      </c>
      <c r="AJ95" s="4" t="s">
        <v>102</v>
      </c>
      <c r="AK95" s="2">
        <v>0</v>
      </c>
      <c r="AL95" s="2">
        <v>0</v>
      </c>
      <c r="AM95" s="2">
        <v>0</v>
      </c>
      <c r="AN95" s="4"/>
      <c r="AO95" s="2">
        <v>3</v>
      </c>
      <c r="AP95" s="3">
        <v>1.3862943611198906</v>
      </c>
      <c r="AQ95" s="5" t="e">
        <v>#NULL!</v>
      </c>
      <c r="AR95" s="5" t="e">
        <v>#NULL!</v>
      </c>
      <c r="AS95" s="2">
        <v>37</v>
      </c>
      <c r="AT95" s="2">
        <v>37</v>
      </c>
      <c r="AU95" s="2">
        <v>26</v>
      </c>
      <c r="AV95" s="2">
        <v>10</v>
      </c>
      <c r="AW95" s="2">
        <v>2</v>
      </c>
      <c r="AX95" s="3">
        <v>0.69314718055994529</v>
      </c>
      <c r="AY95" s="2">
        <v>5</v>
      </c>
      <c r="AZ95" s="3">
        <v>1.6094379124341003</v>
      </c>
      <c r="BA95" s="4" t="s">
        <v>101</v>
      </c>
      <c r="BB95" s="6">
        <v>54.136000000000003</v>
      </c>
      <c r="BC95" s="6">
        <v>82.316000000000003</v>
      </c>
      <c r="BD95" s="7">
        <v>88.619</v>
      </c>
    </row>
    <row r="96" spans="1:56" x14ac:dyDescent="0.25">
      <c r="A96" s="74" t="s">
        <v>103</v>
      </c>
      <c r="B96" s="88">
        <v>0</v>
      </c>
      <c r="C96" s="81">
        <v>0</v>
      </c>
      <c r="D96" s="14">
        <v>0</v>
      </c>
      <c r="E96" s="14">
        <v>27</v>
      </c>
      <c r="F96" s="14">
        <v>1</v>
      </c>
      <c r="G96" s="14">
        <v>94</v>
      </c>
      <c r="H96" s="15">
        <v>1.95</v>
      </c>
      <c r="I96" s="14">
        <v>0</v>
      </c>
      <c r="J96" s="14">
        <v>1</v>
      </c>
      <c r="K96" s="14">
        <v>0</v>
      </c>
      <c r="L96" s="14">
        <v>0</v>
      </c>
      <c r="M96" s="14">
        <v>4</v>
      </c>
      <c r="N96" s="14">
        <v>3</v>
      </c>
      <c r="O96" s="16" t="s">
        <v>57</v>
      </c>
      <c r="P96" s="14">
        <v>0</v>
      </c>
      <c r="Q96" s="14">
        <v>1</v>
      </c>
      <c r="R96" s="16" t="s">
        <v>57</v>
      </c>
      <c r="S96" s="16" t="s">
        <v>57</v>
      </c>
      <c r="T96" s="17">
        <v>24.74</v>
      </c>
      <c r="U96" s="18" t="e">
        <v>#NULL!</v>
      </c>
      <c r="V96" s="18" t="e">
        <v>#NULL!</v>
      </c>
      <c r="W96" s="4"/>
      <c r="X96" s="4"/>
      <c r="Y96" s="4"/>
      <c r="Z96" s="4"/>
      <c r="AA96" s="4" t="s">
        <v>59</v>
      </c>
      <c r="AB96" s="5" t="e">
        <v>#NULL!</v>
      </c>
      <c r="AC96" s="4"/>
      <c r="AD96" s="5" t="e">
        <v>#NULL!</v>
      </c>
      <c r="AE96" s="4"/>
      <c r="AF96" s="5" t="e">
        <v>#NULL!</v>
      </c>
      <c r="AG96" s="5" t="e">
        <v>#NULL!</v>
      </c>
      <c r="AH96" s="5" t="e">
        <v>#NULL!</v>
      </c>
      <c r="AI96" s="2">
        <v>2</v>
      </c>
      <c r="AJ96" s="4" t="s">
        <v>104</v>
      </c>
      <c r="AK96" s="2">
        <v>0</v>
      </c>
      <c r="AL96" s="2">
        <v>0</v>
      </c>
      <c r="AM96" s="2">
        <v>0</v>
      </c>
      <c r="AN96" s="4" t="s">
        <v>105</v>
      </c>
      <c r="AO96" s="2">
        <v>1</v>
      </c>
      <c r="AP96" s="3">
        <v>0.69314718055994529</v>
      </c>
      <c r="AQ96" s="5" t="e">
        <v>#NULL!</v>
      </c>
      <c r="AR96" s="5" t="e">
        <v>#NULL!</v>
      </c>
      <c r="AS96" s="2">
        <v>35</v>
      </c>
      <c r="AT96" s="2">
        <v>32</v>
      </c>
      <c r="AU96" s="2">
        <v>37</v>
      </c>
      <c r="AV96" s="2">
        <v>7</v>
      </c>
      <c r="AW96" s="2">
        <v>2</v>
      </c>
      <c r="AX96" s="3">
        <v>0.69314718055994529</v>
      </c>
      <c r="AY96" s="2">
        <v>3</v>
      </c>
      <c r="AZ96" s="3">
        <v>1.0986122886681098</v>
      </c>
      <c r="BA96" s="4" t="s">
        <v>103</v>
      </c>
      <c r="BB96" s="6">
        <v>60.156999999999996</v>
      </c>
      <c r="BC96" s="6">
        <v>35.064</v>
      </c>
      <c r="BD96" s="7">
        <v>26.984999999999999</v>
      </c>
    </row>
    <row r="97" spans="1:56" x14ac:dyDescent="0.25">
      <c r="A97" s="74" t="s">
        <v>106</v>
      </c>
      <c r="B97" s="88">
        <v>0</v>
      </c>
      <c r="C97" s="81">
        <v>0</v>
      </c>
      <c r="D97" s="14">
        <v>0</v>
      </c>
      <c r="E97" s="14">
        <v>21</v>
      </c>
      <c r="F97" s="14">
        <v>1</v>
      </c>
      <c r="G97" s="14">
        <v>73</v>
      </c>
      <c r="H97" s="15">
        <v>1.82</v>
      </c>
      <c r="I97" s="14">
        <v>0</v>
      </c>
      <c r="J97" s="14">
        <v>1</v>
      </c>
      <c r="K97" s="14">
        <v>0</v>
      </c>
      <c r="L97" s="14">
        <v>0</v>
      </c>
      <c r="M97" s="14">
        <v>15</v>
      </c>
      <c r="N97" s="14">
        <v>15</v>
      </c>
      <c r="O97" s="16" t="s">
        <v>57</v>
      </c>
      <c r="P97" s="14">
        <v>0</v>
      </c>
      <c r="Q97" s="14">
        <v>1</v>
      </c>
      <c r="R97" s="16" t="s">
        <v>57</v>
      </c>
      <c r="S97" s="16" t="s">
        <v>57</v>
      </c>
      <c r="T97" s="17">
        <v>22.05</v>
      </c>
      <c r="U97" s="18" t="e">
        <v>#NULL!</v>
      </c>
      <c r="V97" s="18" t="e">
        <v>#NULL!</v>
      </c>
      <c r="W97" s="4"/>
      <c r="X97" s="4"/>
      <c r="Y97" s="4"/>
      <c r="Z97" s="4"/>
      <c r="AA97" s="4" t="s">
        <v>59</v>
      </c>
      <c r="AB97" s="5" t="e">
        <v>#NULL!</v>
      </c>
      <c r="AC97" s="4"/>
      <c r="AD97" s="5" t="e">
        <v>#NULL!</v>
      </c>
      <c r="AE97" s="4"/>
      <c r="AF97" s="5" t="e">
        <v>#NULL!</v>
      </c>
      <c r="AG97" s="5" t="e">
        <v>#NULL!</v>
      </c>
      <c r="AH97" s="5" t="e">
        <v>#NULL!</v>
      </c>
      <c r="AI97" s="2">
        <v>0</v>
      </c>
      <c r="AJ97" s="4"/>
      <c r="AK97" s="2">
        <v>1</v>
      </c>
      <c r="AL97" s="2">
        <v>-0.5</v>
      </c>
      <c r="AM97" s="2">
        <v>-0.5</v>
      </c>
      <c r="AN97" s="4"/>
      <c r="AO97" s="2">
        <v>3</v>
      </c>
      <c r="AP97" s="3">
        <v>1.3862943611198906</v>
      </c>
      <c r="AQ97" s="5" t="e">
        <v>#NULL!</v>
      </c>
      <c r="AR97" s="5" t="e">
        <v>#NULL!</v>
      </c>
      <c r="AS97" s="2">
        <v>36</v>
      </c>
      <c r="AT97" s="2">
        <v>35</v>
      </c>
      <c r="AU97" s="2">
        <v>39</v>
      </c>
      <c r="AV97" s="2">
        <v>7</v>
      </c>
      <c r="AW97" s="2">
        <v>1</v>
      </c>
      <c r="AX97" s="3">
        <v>0</v>
      </c>
      <c r="AY97" s="2">
        <v>1</v>
      </c>
      <c r="AZ97" s="3">
        <v>0</v>
      </c>
      <c r="BA97" s="4" t="s">
        <v>106</v>
      </c>
      <c r="BB97" s="6">
        <v>70.698999999999998</v>
      </c>
      <c r="BC97" s="6">
        <v>65.213999999999999</v>
      </c>
      <c r="BD97" s="7">
        <v>32.436999999999998</v>
      </c>
    </row>
    <row r="98" spans="1:56" x14ac:dyDescent="0.25">
      <c r="A98" s="74" t="s">
        <v>107</v>
      </c>
      <c r="B98" s="88">
        <v>0</v>
      </c>
      <c r="C98" s="81">
        <v>0</v>
      </c>
      <c r="D98" s="14">
        <v>0</v>
      </c>
      <c r="E98" s="14">
        <v>32</v>
      </c>
      <c r="F98" s="14">
        <v>1</v>
      </c>
      <c r="G98" s="14">
        <v>78</v>
      </c>
      <c r="H98" s="15">
        <v>1.84</v>
      </c>
      <c r="I98" s="14">
        <v>0</v>
      </c>
      <c r="J98" s="14">
        <v>1</v>
      </c>
      <c r="K98" s="14">
        <v>0</v>
      </c>
      <c r="L98" s="14">
        <v>0</v>
      </c>
      <c r="M98" s="14">
        <v>2</v>
      </c>
      <c r="N98" s="14">
        <v>2</v>
      </c>
      <c r="O98" s="16" t="s">
        <v>56</v>
      </c>
      <c r="P98" s="14">
        <v>4</v>
      </c>
      <c r="Q98" s="14">
        <v>1</v>
      </c>
      <c r="R98" s="16" t="s">
        <v>57</v>
      </c>
      <c r="S98" s="16" t="s">
        <v>57</v>
      </c>
      <c r="T98" s="17">
        <v>23.01</v>
      </c>
      <c r="U98" s="18" t="e">
        <v>#NULL!</v>
      </c>
      <c r="V98" s="18" t="e">
        <v>#NULL!</v>
      </c>
      <c r="W98" s="4"/>
      <c r="X98" s="4"/>
      <c r="Y98" s="4"/>
      <c r="Z98" s="4"/>
      <c r="AA98" s="4" t="s">
        <v>59</v>
      </c>
      <c r="AB98" s="5" t="e">
        <v>#NULL!</v>
      </c>
      <c r="AC98" s="4"/>
      <c r="AD98" s="5" t="e">
        <v>#NULL!</v>
      </c>
      <c r="AE98" s="4"/>
      <c r="AF98" s="5" t="e">
        <v>#NULL!</v>
      </c>
      <c r="AG98" s="5" t="e">
        <v>#NULL!</v>
      </c>
      <c r="AH98" s="5" t="e">
        <v>#NULL!</v>
      </c>
      <c r="AI98" s="2">
        <v>0</v>
      </c>
      <c r="AJ98" s="4"/>
      <c r="AK98" s="2">
        <v>0</v>
      </c>
      <c r="AL98" s="2">
        <v>0</v>
      </c>
      <c r="AM98" s="2">
        <v>0</v>
      </c>
      <c r="AN98" s="4"/>
      <c r="AO98" s="2">
        <v>3</v>
      </c>
      <c r="AP98" s="3">
        <v>1.3862943611198906</v>
      </c>
      <c r="AQ98" s="5" t="e">
        <v>#NULL!</v>
      </c>
      <c r="AR98" s="5" t="e">
        <v>#NULL!</v>
      </c>
      <c r="AS98" s="2">
        <v>34</v>
      </c>
      <c r="AT98" s="2">
        <v>32</v>
      </c>
      <c r="AU98" s="2">
        <v>32</v>
      </c>
      <c r="AV98" s="2">
        <v>1</v>
      </c>
      <c r="AW98" s="2">
        <v>3</v>
      </c>
      <c r="AX98" s="3">
        <v>1.0986122886681098</v>
      </c>
      <c r="AY98" s="2">
        <v>3</v>
      </c>
      <c r="AZ98" s="3">
        <v>1.0986122886681098</v>
      </c>
      <c r="BA98" s="4" t="s">
        <v>107</v>
      </c>
      <c r="BB98" s="6">
        <v>64.347999999999999</v>
      </c>
      <c r="BC98" s="6">
        <v>49.872</v>
      </c>
      <c r="BD98" s="7">
        <v>29.135999999999999</v>
      </c>
    </row>
    <row r="99" spans="1:56" x14ac:dyDescent="0.25">
      <c r="A99" s="74" t="s">
        <v>108</v>
      </c>
      <c r="B99" s="88">
        <v>0</v>
      </c>
      <c r="C99" s="81">
        <v>0</v>
      </c>
      <c r="D99" s="14">
        <v>0</v>
      </c>
      <c r="E99" s="14">
        <v>40</v>
      </c>
      <c r="F99" s="14">
        <v>0</v>
      </c>
      <c r="G99" s="14">
        <v>63</v>
      </c>
      <c r="H99" s="15">
        <v>1.62</v>
      </c>
      <c r="I99" s="14">
        <v>1</v>
      </c>
      <c r="J99" s="14">
        <v>0</v>
      </c>
      <c r="K99" s="14">
        <v>1</v>
      </c>
      <c r="L99" s="14">
        <v>2</v>
      </c>
      <c r="M99" s="14">
        <v>5</v>
      </c>
      <c r="N99" s="14">
        <v>8</v>
      </c>
      <c r="O99" s="16" t="s">
        <v>56</v>
      </c>
      <c r="P99" s="14">
        <v>4</v>
      </c>
      <c r="Q99" s="14">
        <v>1</v>
      </c>
      <c r="R99" s="16" t="s">
        <v>57</v>
      </c>
      <c r="S99" s="16" t="s">
        <v>57</v>
      </c>
      <c r="T99" s="17">
        <v>24.01</v>
      </c>
      <c r="U99" s="18" t="e">
        <v>#NULL!</v>
      </c>
      <c r="V99" s="18" t="e">
        <v>#NULL!</v>
      </c>
      <c r="W99" s="4"/>
      <c r="X99" s="4"/>
      <c r="Y99" s="4" t="s">
        <v>109</v>
      </c>
      <c r="Z99" s="4"/>
      <c r="AA99" s="4" t="s">
        <v>59</v>
      </c>
      <c r="AB99" s="5" t="e">
        <v>#NULL!</v>
      </c>
      <c r="AC99" s="4"/>
      <c r="AD99" s="5" t="e">
        <v>#NULL!</v>
      </c>
      <c r="AE99" s="4"/>
      <c r="AF99" s="5" t="e">
        <v>#NULL!</v>
      </c>
      <c r="AG99" s="5" t="e">
        <v>#NULL!</v>
      </c>
      <c r="AH99" s="5" t="e">
        <v>#NULL!</v>
      </c>
      <c r="AI99" s="2">
        <v>2</v>
      </c>
      <c r="AJ99" s="4" t="s">
        <v>110</v>
      </c>
      <c r="AK99" s="2">
        <v>0</v>
      </c>
      <c r="AL99" s="2">
        <v>0</v>
      </c>
      <c r="AM99" s="2">
        <v>0</v>
      </c>
      <c r="AN99" s="4"/>
      <c r="AO99" s="2">
        <v>2</v>
      </c>
      <c r="AP99" s="3">
        <v>1.0986122886681098</v>
      </c>
      <c r="AQ99" s="5" t="e">
        <v>#NULL!</v>
      </c>
      <c r="AR99" s="5" t="e">
        <v>#NULL!</v>
      </c>
      <c r="AS99" s="2">
        <v>36</v>
      </c>
      <c r="AT99" s="2">
        <v>33</v>
      </c>
      <c r="AU99" s="2">
        <v>40</v>
      </c>
      <c r="AV99" s="2">
        <v>5</v>
      </c>
      <c r="AW99" s="2">
        <v>2</v>
      </c>
      <c r="AX99" s="3">
        <v>0.69314718055994529</v>
      </c>
      <c r="AY99" s="2">
        <v>3</v>
      </c>
      <c r="AZ99" s="3">
        <v>1.0986122886681098</v>
      </c>
      <c r="BA99" s="4" t="s">
        <v>108</v>
      </c>
      <c r="BB99" s="6">
        <v>65.516000000000005</v>
      </c>
      <c r="BC99" s="6">
        <v>42.606999999999999</v>
      </c>
      <c r="BD99" s="7">
        <v>25.454999999999998</v>
      </c>
    </row>
    <row r="100" spans="1:56" x14ac:dyDescent="0.25">
      <c r="A100" s="74" t="s">
        <v>140</v>
      </c>
      <c r="B100" s="88">
        <v>0</v>
      </c>
      <c r="C100" s="81">
        <v>0</v>
      </c>
      <c r="D100" s="14">
        <v>0</v>
      </c>
      <c r="E100" s="14">
        <v>22</v>
      </c>
      <c r="F100" s="14">
        <v>0</v>
      </c>
      <c r="G100" s="14">
        <v>48</v>
      </c>
      <c r="H100" s="15">
        <v>1.6</v>
      </c>
      <c r="I100" s="14">
        <v>0</v>
      </c>
      <c r="J100" s="14">
        <v>1</v>
      </c>
      <c r="K100" s="14">
        <v>1</v>
      </c>
      <c r="L100" s="14">
        <v>3.5</v>
      </c>
      <c r="M100" s="18" t="e">
        <v>#NULL!</v>
      </c>
      <c r="N100" s="18" t="e">
        <v>#NULL!</v>
      </c>
      <c r="O100" s="16" t="s">
        <v>56</v>
      </c>
      <c r="P100" s="14">
        <v>2</v>
      </c>
      <c r="Q100" s="14">
        <v>1</v>
      </c>
      <c r="R100" s="16" t="s">
        <v>56</v>
      </c>
      <c r="S100" s="16" t="s">
        <v>57</v>
      </c>
      <c r="T100" s="17">
        <v>18.749999999999996</v>
      </c>
      <c r="U100" s="18" t="e">
        <v>#NULL!</v>
      </c>
      <c r="V100" s="18" t="e">
        <v>#NULL!</v>
      </c>
      <c r="W100" s="4"/>
      <c r="X100" s="4"/>
      <c r="Y100" s="4"/>
      <c r="Z100" s="4"/>
      <c r="AA100" s="4" t="s">
        <v>59</v>
      </c>
      <c r="AB100" s="5" t="e">
        <v>#NULL!</v>
      </c>
      <c r="AC100" s="4"/>
      <c r="AD100" s="5" t="e">
        <v>#NULL!</v>
      </c>
      <c r="AE100" s="4"/>
      <c r="AF100" s="5" t="e">
        <v>#NULL!</v>
      </c>
      <c r="AG100" s="5" t="e">
        <v>#NULL!</v>
      </c>
      <c r="AH100" s="5" t="e">
        <v>#NULL!</v>
      </c>
      <c r="AI100" s="5" t="e">
        <v>#NULL!</v>
      </c>
      <c r="AJ100" s="4"/>
      <c r="AK100" s="2">
        <v>1</v>
      </c>
      <c r="AL100" s="2">
        <v>-2</v>
      </c>
      <c r="AM100" s="2">
        <v>-2</v>
      </c>
      <c r="AN100" s="4"/>
      <c r="AO100" s="2">
        <v>10</v>
      </c>
      <c r="AP100" s="3">
        <v>2.3978952727983707</v>
      </c>
      <c r="AQ100" s="5" t="e">
        <v>#NULL!</v>
      </c>
      <c r="AR100" s="5" t="e">
        <v>#NULL!</v>
      </c>
      <c r="AS100" s="5" t="e">
        <v>#NULL!</v>
      </c>
      <c r="AT100" s="5" t="e">
        <v>#NULL!</v>
      </c>
      <c r="AU100" s="5" t="e">
        <v>#NULL!</v>
      </c>
      <c r="AV100" s="5" t="e">
        <v>#NULL!</v>
      </c>
      <c r="AW100" s="5" t="e">
        <v>#NULL!</v>
      </c>
      <c r="AX100" s="5" t="e">
        <v>#NULL!</v>
      </c>
      <c r="AY100" s="5" t="e">
        <v>#NULL!</v>
      </c>
      <c r="AZ100" s="5" t="e">
        <v>#NULL!</v>
      </c>
      <c r="BA100" s="4" t="s">
        <v>140</v>
      </c>
      <c r="BB100" s="6">
        <v>69.230999999999995</v>
      </c>
      <c r="BC100" s="6">
        <v>32.802</v>
      </c>
      <c r="BD100" s="7">
        <v>21.425000000000001</v>
      </c>
    </row>
    <row r="101" spans="1:56" ht="15.75" thickBot="1" x14ac:dyDescent="0.3">
      <c r="A101" s="75" t="s">
        <v>111</v>
      </c>
      <c r="B101" s="89">
        <v>0</v>
      </c>
      <c r="C101" s="82">
        <v>0</v>
      </c>
      <c r="D101" s="56">
        <v>0</v>
      </c>
      <c r="E101" s="56">
        <v>42</v>
      </c>
      <c r="F101" s="56">
        <v>0</v>
      </c>
      <c r="G101" s="56">
        <v>53</v>
      </c>
      <c r="H101" s="57">
        <v>1.57</v>
      </c>
      <c r="I101" s="56">
        <v>0</v>
      </c>
      <c r="J101" s="56">
        <v>1</v>
      </c>
      <c r="K101" s="56">
        <v>0</v>
      </c>
      <c r="L101" s="56">
        <v>0</v>
      </c>
      <c r="M101" s="56">
        <v>15</v>
      </c>
      <c r="N101" s="56">
        <v>19</v>
      </c>
      <c r="O101" s="59" t="s">
        <v>56</v>
      </c>
      <c r="P101" s="56">
        <v>2</v>
      </c>
      <c r="Q101" s="56">
        <v>1</v>
      </c>
      <c r="R101" s="59" t="s">
        <v>57</v>
      </c>
      <c r="S101" s="59" t="s">
        <v>57</v>
      </c>
      <c r="T101" s="60">
        <v>21.54</v>
      </c>
      <c r="U101" s="58" t="e">
        <v>#NULL!</v>
      </c>
      <c r="V101" s="58" t="e">
        <v>#NULL!</v>
      </c>
      <c r="W101" s="10"/>
      <c r="X101" s="10"/>
      <c r="Y101" s="10" t="s">
        <v>112</v>
      </c>
      <c r="Z101" s="10"/>
      <c r="AA101" s="10" t="s">
        <v>59</v>
      </c>
      <c r="AB101" s="11" t="e">
        <v>#NULL!</v>
      </c>
      <c r="AC101" s="10"/>
      <c r="AD101" s="11" t="e">
        <v>#NULL!</v>
      </c>
      <c r="AE101" s="10"/>
      <c r="AF101" s="11" t="e">
        <v>#NULL!</v>
      </c>
      <c r="AG101" s="11" t="e">
        <v>#NULL!</v>
      </c>
      <c r="AH101" s="11" t="e">
        <v>#NULL!</v>
      </c>
      <c r="AI101" s="8">
        <v>1</v>
      </c>
      <c r="AJ101" s="10" t="s">
        <v>113</v>
      </c>
      <c r="AK101" s="8">
        <v>0</v>
      </c>
      <c r="AL101" s="8">
        <v>0</v>
      </c>
      <c r="AM101" s="8">
        <v>0</v>
      </c>
      <c r="AN101" s="10"/>
      <c r="AO101" s="8">
        <v>0</v>
      </c>
      <c r="AP101" s="9">
        <v>0</v>
      </c>
      <c r="AQ101" s="11" t="e">
        <v>#NULL!</v>
      </c>
      <c r="AR101" s="11" t="e">
        <v>#NULL!</v>
      </c>
      <c r="AS101" s="8">
        <v>38</v>
      </c>
      <c r="AT101" s="8">
        <v>27</v>
      </c>
      <c r="AU101" s="8">
        <v>38</v>
      </c>
      <c r="AV101" s="8">
        <v>5</v>
      </c>
      <c r="AW101" s="8">
        <v>2</v>
      </c>
      <c r="AX101" s="9">
        <v>0.69314718055994529</v>
      </c>
      <c r="AY101" s="8">
        <v>2</v>
      </c>
      <c r="AZ101" s="9">
        <v>0.69314718055994529</v>
      </c>
      <c r="BA101" s="10" t="s">
        <v>111</v>
      </c>
      <c r="BB101" s="12">
        <v>75.048000000000002</v>
      </c>
      <c r="BC101" s="12">
        <v>60.069000000000003</v>
      </c>
      <c r="BD101" s="13">
        <v>46.027999999999999</v>
      </c>
    </row>
    <row r="102" spans="1:56" x14ac:dyDescent="0.25">
      <c r="A102" s="73" t="s">
        <v>114</v>
      </c>
      <c r="B102" s="87">
        <v>0</v>
      </c>
      <c r="C102" s="80">
        <v>0</v>
      </c>
      <c r="D102" s="51">
        <v>0</v>
      </c>
      <c r="E102" s="51">
        <v>45</v>
      </c>
      <c r="F102" s="51">
        <v>0</v>
      </c>
      <c r="G102" s="51">
        <v>90</v>
      </c>
      <c r="H102" s="52">
        <v>1.73</v>
      </c>
      <c r="I102" s="51">
        <v>0</v>
      </c>
      <c r="J102" s="51">
        <v>1</v>
      </c>
      <c r="K102" s="51">
        <v>0</v>
      </c>
      <c r="L102" s="51">
        <v>0</v>
      </c>
      <c r="M102" s="51">
        <v>3</v>
      </c>
      <c r="N102" s="51">
        <v>2</v>
      </c>
      <c r="O102" s="53" t="s">
        <v>56</v>
      </c>
      <c r="P102" s="51">
        <v>4</v>
      </c>
      <c r="Q102" s="51">
        <v>1</v>
      </c>
      <c r="R102" s="53" t="s">
        <v>57</v>
      </c>
      <c r="S102" s="53" t="s">
        <v>57</v>
      </c>
      <c r="T102" s="54">
        <v>30.1</v>
      </c>
      <c r="U102" s="55" t="e">
        <v>#NULL!</v>
      </c>
      <c r="V102" s="55" t="e">
        <v>#NULL!</v>
      </c>
      <c r="W102" s="126"/>
      <c r="X102" s="126"/>
      <c r="Y102" s="126" t="s">
        <v>62</v>
      </c>
      <c r="Z102" s="126"/>
      <c r="AA102" s="126" t="s">
        <v>59</v>
      </c>
      <c r="AB102" s="127" t="e">
        <v>#NULL!</v>
      </c>
      <c r="AC102" s="126"/>
      <c r="AD102" s="127" t="e">
        <v>#NULL!</v>
      </c>
      <c r="AE102" s="126"/>
      <c r="AF102" s="127" t="e">
        <v>#NULL!</v>
      </c>
      <c r="AG102" s="127" t="e">
        <v>#NULL!</v>
      </c>
      <c r="AH102" s="127" t="e">
        <v>#NULL!</v>
      </c>
      <c r="AI102" s="128">
        <v>0</v>
      </c>
      <c r="AJ102" s="126"/>
      <c r="AK102" s="128">
        <v>1</v>
      </c>
      <c r="AL102" s="128">
        <v>-1</v>
      </c>
      <c r="AM102" s="128">
        <v>-1</v>
      </c>
      <c r="AN102" s="126"/>
      <c r="AO102" s="128">
        <v>0</v>
      </c>
      <c r="AP102" s="129">
        <v>0</v>
      </c>
      <c r="AQ102" s="127" t="e">
        <v>#NULL!</v>
      </c>
      <c r="AR102" s="127" t="e">
        <v>#NULL!</v>
      </c>
      <c r="AS102" s="128">
        <v>36</v>
      </c>
      <c r="AT102" s="128">
        <v>29</v>
      </c>
      <c r="AU102" s="128">
        <v>38</v>
      </c>
      <c r="AV102" s="128">
        <v>8</v>
      </c>
      <c r="AW102" s="128">
        <v>4</v>
      </c>
      <c r="AX102" s="129">
        <v>1.3862943611198906</v>
      </c>
      <c r="AY102" s="128">
        <v>3</v>
      </c>
      <c r="AZ102" s="129">
        <v>1.0986122886681098</v>
      </c>
      <c r="BA102" s="126" t="s">
        <v>114</v>
      </c>
      <c r="BB102" s="130">
        <v>76.915000000000006</v>
      </c>
      <c r="BC102" s="130">
        <v>37.884999999999998</v>
      </c>
      <c r="BD102" s="131">
        <v>24.463999999999999</v>
      </c>
    </row>
    <row r="103" spans="1:56" x14ac:dyDescent="0.25">
      <c r="A103" s="74" t="s">
        <v>115</v>
      </c>
      <c r="B103" s="88">
        <v>0</v>
      </c>
      <c r="C103" s="81">
        <v>0</v>
      </c>
      <c r="D103" s="14">
        <v>0</v>
      </c>
      <c r="E103" s="14">
        <v>41</v>
      </c>
      <c r="F103" s="14">
        <v>0</v>
      </c>
      <c r="G103" s="14">
        <v>75</v>
      </c>
      <c r="H103" s="15">
        <v>1.58</v>
      </c>
      <c r="I103" s="14">
        <v>0</v>
      </c>
      <c r="J103" s="14">
        <v>1</v>
      </c>
      <c r="K103" s="14">
        <v>1</v>
      </c>
      <c r="L103" s="14">
        <v>5</v>
      </c>
      <c r="M103" s="14">
        <v>15</v>
      </c>
      <c r="N103" s="14">
        <v>31</v>
      </c>
      <c r="O103" s="16" t="s">
        <v>56</v>
      </c>
      <c r="P103" s="14">
        <v>2</v>
      </c>
      <c r="Q103" s="14">
        <v>1</v>
      </c>
      <c r="R103" s="16" t="s">
        <v>57</v>
      </c>
      <c r="S103" s="16" t="s">
        <v>57</v>
      </c>
      <c r="T103" s="17">
        <v>30</v>
      </c>
      <c r="U103" s="18" t="e">
        <v>#NULL!</v>
      </c>
      <c r="V103" s="18" t="e">
        <v>#NULL!</v>
      </c>
      <c r="W103" s="4"/>
      <c r="X103" s="4"/>
      <c r="Y103" s="4"/>
      <c r="Z103" s="4"/>
      <c r="AA103" s="4" t="s">
        <v>59</v>
      </c>
      <c r="AB103" s="5" t="e">
        <v>#NULL!</v>
      </c>
      <c r="AC103" s="4"/>
      <c r="AD103" s="5" t="e">
        <v>#NULL!</v>
      </c>
      <c r="AE103" s="4"/>
      <c r="AF103" s="5" t="e">
        <v>#NULL!</v>
      </c>
      <c r="AG103" s="5" t="e">
        <v>#NULL!</v>
      </c>
      <c r="AH103" s="5" t="e">
        <v>#NULL!</v>
      </c>
      <c r="AI103" s="2">
        <v>1</v>
      </c>
      <c r="AJ103" s="4" t="s">
        <v>116</v>
      </c>
      <c r="AK103" s="2">
        <v>0</v>
      </c>
      <c r="AL103" s="2">
        <v>0</v>
      </c>
      <c r="AM103" s="2">
        <v>0</v>
      </c>
      <c r="AN103" s="4"/>
      <c r="AO103" s="2">
        <v>4</v>
      </c>
      <c r="AP103" s="3">
        <v>1.6094379124341003</v>
      </c>
      <c r="AQ103" s="5" t="e">
        <v>#NULL!</v>
      </c>
      <c r="AR103" s="5" t="e">
        <v>#NULL!</v>
      </c>
      <c r="AS103" s="2">
        <v>34</v>
      </c>
      <c r="AT103" s="2">
        <v>28</v>
      </c>
      <c r="AU103" s="2">
        <v>31</v>
      </c>
      <c r="AV103" s="2">
        <v>11</v>
      </c>
      <c r="AW103" s="2">
        <v>3</v>
      </c>
      <c r="AX103" s="3">
        <v>1.0986122886681098</v>
      </c>
      <c r="AY103" s="2">
        <v>3</v>
      </c>
      <c r="AZ103" s="3">
        <v>1.0986122886681098</v>
      </c>
      <c r="BA103" s="4" t="s">
        <v>115</v>
      </c>
      <c r="BB103" s="6">
        <v>64.616</v>
      </c>
      <c r="BC103" s="6">
        <v>110.74</v>
      </c>
      <c r="BD103" s="7">
        <v>104.83</v>
      </c>
    </row>
    <row r="104" spans="1:56" x14ac:dyDescent="0.25">
      <c r="A104" s="74" t="s">
        <v>117</v>
      </c>
      <c r="B104" s="88">
        <v>0</v>
      </c>
      <c r="C104" s="81">
        <v>0</v>
      </c>
      <c r="D104" s="14">
        <v>0</v>
      </c>
      <c r="E104" s="14">
        <v>30</v>
      </c>
      <c r="F104" s="14">
        <v>0</v>
      </c>
      <c r="G104" s="14">
        <v>88</v>
      </c>
      <c r="H104" s="15">
        <v>1.57</v>
      </c>
      <c r="I104" s="14">
        <v>0</v>
      </c>
      <c r="J104" s="14">
        <v>1</v>
      </c>
      <c r="K104" s="14">
        <v>0</v>
      </c>
      <c r="L104" s="14">
        <v>0</v>
      </c>
      <c r="M104" s="14">
        <v>9</v>
      </c>
      <c r="N104" s="14">
        <v>10</v>
      </c>
      <c r="O104" s="16" t="s">
        <v>57</v>
      </c>
      <c r="P104" s="14">
        <v>0</v>
      </c>
      <c r="Q104" s="14">
        <v>1</v>
      </c>
      <c r="R104" s="16" t="s">
        <v>57</v>
      </c>
      <c r="S104" s="16" t="s">
        <v>57</v>
      </c>
      <c r="T104" s="17">
        <v>35.770000000000003</v>
      </c>
      <c r="U104" s="18" t="e">
        <v>#NULL!</v>
      </c>
      <c r="V104" s="18" t="e">
        <v>#NULL!</v>
      </c>
      <c r="W104" s="4"/>
      <c r="X104" s="4"/>
      <c r="Y104" s="4" t="s">
        <v>118</v>
      </c>
      <c r="Z104" s="4"/>
      <c r="AA104" s="4" t="s">
        <v>59</v>
      </c>
      <c r="AB104" s="5" t="e">
        <v>#NULL!</v>
      </c>
      <c r="AC104" s="4"/>
      <c r="AD104" s="5" t="e">
        <v>#NULL!</v>
      </c>
      <c r="AE104" s="4"/>
      <c r="AF104" s="5" t="e">
        <v>#NULL!</v>
      </c>
      <c r="AG104" s="5" t="e">
        <v>#NULL!</v>
      </c>
      <c r="AH104" s="5" t="e">
        <v>#NULL!</v>
      </c>
      <c r="AI104" s="2">
        <v>1</v>
      </c>
      <c r="AJ104" s="4" t="s">
        <v>119</v>
      </c>
      <c r="AK104" s="2">
        <v>0</v>
      </c>
      <c r="AL104" s="2">
        <v>0</v>
      </c>
      <c r="AM104" s="2">
        <v>0</v>
      </c>
      <c r="AN104" s="4"/>
      <c r="AO104" s="2">
        <v>4</v>
      </c>
      <c r="AP104" s="3">
        <v>1.6094379124341003</v>
      </c>
      <c r="AQ104" s="5" t="e">
        <v>#NULL!</v>
      </c>
      <c r="AR104" s="5" t="e">
        <v>#NULL!</v>
      </c>
      <c r="AS104" s="2">
        <v>35</v>
      </c>
      <c r="AT104" s="2">
        <v>40</v>
      </c>
      <c r="AU104" s="2">
        <v>33</v>
      </c>
      <c r="AV104" s="2">
        <v>12</v>
      </c>
      <c r="AW104" s="2">
        <v>1</v>
      </c>
      <c r="AX104" s="3">
        <v>0</v>
      </c>
      <c r="AY104" s="2">
        <v>1</v>
      </c>
      <c r="AZ104" s="3">
        <v>0</v>
      </c>
      <c r="BA104" s="4" t="s">
        <v>117</v>
      </c>
      <c r="BB104" s="6">
        <v>81.608000000000004</v>
      </c>
      <c r="BC104" s="6">
        <v>31.931999999999999</v>
      </c>
      <c r="BD104" s="7">
        <v>40.613</v>
      </c>
    </row>
    <row r="105" spans="1:56" x14ac:dyDescent="0.25">
      <c r="A105" s="74" t="s">
        <v>120</v>
      </c>
      <c r="B105" s="88">
        <v>0</v>
      </c>
      <c r="C105" s="81">
        <v>0</v>
      </c>
      <c r="D105" s="14">
        <v>0</v>
      </c>
      <c r="E105" s="14">
        <v>27</v>
      </c>
      <c r="F105" s="14">
        <v>0</v>
      </c>
      <c r="G105" s="14">
        <v>74</v>
      </c>
      <c r="H105" s="15">
        <v>1.67</v>
      </c>
      <c r="I105" s="14">
        <v>0</v>
      </c>
      <c r="J105" s="14">
        <v>1</v>
      </c>
      <c r="K105" s="14">
        <v>0</v>
      </c>
      <c r="L105" s="14">
        <v>0</v>
      </c>
      <c r="M105" s="14">
        <v>3</v>
      </c>
      <c r="N105" s="14">
        <v>4</v>
      </c>
      <c r="O105" s="16" t="s">
        <v>57</v>
      </c>
      <c r="P105" s="14">
        <v>0</v>
      </c>
      <c r="Q105" s="14">
        <v>1</v>
      </c>
      <c r="R105" s="16" t="s">
        <v>57</v>
      </c>
      <c r="S105" s="16" t="s">
        <v>57</v>
      </c>
      <c r="T105" s="17">
        <v>26.43</v>
      </c>
      <c r="U105" s="18" t="e">
        <v>#NULL!</v>
      </c>
      <c r="V105" s="18" t="e">
        <v>#NULL!</v>
      </c>
      <c r="W105" s="4"/>
      <c r="X105" s="4"/>
      <c r="Y105" s="4" t="s">
        <v>62</v>
      </c>
      <c r="Z105" s="4"/>
      <c r="AA105" s="4" t="s">
        <v>59</v>
      </c>
      <c r="AB105" s="5" t="e">
        <v>#NULL!</v>
      </c>
      <c r="AC105" s="4"/>
      <c r="AD105" s="5" t="e">
        <v>#NULL!</v>
      </c>
      <c r="AE105" s="4"/>
      <c r="AF105" s="5" t="e">
        <v>#NULL!</v>
      </c>
      <c r="AG105" s="5" t="e">
        <v>#NULL!</v>
      </c>
      <c r="AH105" s="5" t="e">
        <v>#NULL!</v>
      </c>
      <c r="AI105" s="2">
        <v>0</v>
      </c>
      <c r="AJ105" s="4"/>
      <c r="AK105" s="2">
        <v>0</v>
      </c>
      <c r="AL105" s="2">
        <v>0</v>
      </c>
      <c r="AM105" s="2">
        <v>0</v>
      </c>
      <c r="AN105" s="4"/>
      <c r="AO105" s="2">
        <v>1</v>
      </c>
      <c r="AP105" s="3">
        <v>0.69314718055994529</v>
      </c>
      <c r="AQ105" s="5" t="e">
        <v>#NULL!</v>
      </c>
      <c r="AR105" s="5" t="e">
        <v>#NULL!</v>
      </c>
      <c r="AS105" s="2">
        <v>36</v>
      </c>
      <c r="AT105" s="2">
        <v>33</v>
      </c>
      <c r="AU105" s="2">
        <v>36</v>
      </c>
      <c r="AV105" s="2">
        <v>6</v>
      </c>
      <c r="AW105" s="2">
        <v>3</v>
      </c>
      <c r="AX105" s="3">
        <v>1.0986122886681098</v>
      </c>
      <c r="AY105" s="2">
        <v>3</v>
      </c>
      <c r="AZ105" s="3">
        <v>1.0986122886681098</v>
      </c>
      <c r="BA105" s="4" t="s">
        <v>120</v>
      </c>
      <c r="BB105" s="6">
        <v>57.578000000000003</v>
      </c>
      <c r="BC105" s="6">
        <v>129.72999999999999</v>
      </c>
      <c r="BD105" s="7">
        <v>109.69</v>
      </c>
    </row>
    <row r="106" spans="1:56" x14ac:dyDescent="0.25">
      <c r="A106" s="74" t="s">
        <v>121</v>
      </c>
      <c r="B106" s="88">
        <v>0</v>
      </c>
      <c r="C106" s="81">
        <v>0</v>
      </c>
      <c r="D106" s="14">
        <v>0</v>
      </c>
      <c r="E106" s="14">
        <v>28</v>
      </c>
      <c r="F106" s="14">
        <v>0</v>
      </c>
      <c r="G106" s="14">
        <v>63</v>
      </c>
      <c r="H106" s="15">
        <v>1.55</v>
      </c>
      <c r="I106" s="14">
        <v>0</v>
      </c>
      <c r="J106" s="14">
        <v>1</v>
      </c>
      <c r="K106" s="14">
        <v>0</v>
      </c>
      <c r="L106" s="14">
        <v>0</v>
      </c>
      <c r="M106" s="14">
        <v>5</v>
      </c>
      <c r="N106" s="14">
        <v>4</v>
      </c>
      <c r="O106" s="16" t="s">
        <v>56</v>
      </c>
      <c r="P106" s="14">
        <v>2</v>
      </c>
      <c r="Q106" s="14">
        <v>1</v>
      </c>
      <c r="R106" s="16" t="s">
        <v>57</v>
      </c>
      <c r="S106" s="16" t="s">
        <v>57</v>
      </c>
      <c r="T106" s="17">
        <v>26.25</v>
      </c>
      <c r="U106" s="18" t="e">
        <v>#NULL!</v>
      </c>
      <c r="V106" s="18" t="e">
        <v>#NULL!</v>
      </c>
      <c r="W106" s="4"/>
      <c r="X106" s="4"/>
      <c r="Y106" s="4" t="s">
        <v>122</v>
      </c>
      <c r="Z106" s="4"/>
      <c r="AA106" s="4" t="s">
        <v>59</v>
      </c>
      <c r="AB106" s="5" t="e">
        <v>#NULL!</v>
      </c>
      <c r="AC106" s="4"/>
      <c r="AD106" s="5" t="e">
        <v>#NULL!</v>
      </c>
      <c r="AE106" s="4"/>
      <c r="AF106" s="5" t="e">
        <v>#NULL!</v>
      </c>
      <c r="AG106" s="5" t="e">
        <v>#NULL!</v>
      </c>
      <c r="AH106" s="5" t="e">
        <v>#NULL!</v>
      </c>
      <c r="AI106" s="2">
        <v>0</v>
      </c>
      <c r="AJ106" s="4"/>
      <c r="AK106" s="2">
        <v>1</v>
      </c>
      <c r="AL106" s="2">
        <v>-1</v>
      </c>
      <c r="AM106" s="2">
        <v>-1</v>
      </c>
      <c r="AN106" s="4"/>
      <c r="AO106" s="2">
        <v>2</v>
      </c>
      <c r="AP106" s="3">
        <v>1.0986122886681098</v>
      </c>
      <c r="AQ106" s="5" t="e">
        <v>#NULL!</v>
      </c>
      <c r="AR106" s="5" t="e">
        <v>#NULL!</v>
      </c>
      <c r="AS106" s="2">
        <v>40</v>
      </c>
      <c r="AT106" s="2">
        <v>32</v>
      </c>
      <c r="AU106" s="2">
        <v>38</v>
      </c>
      <c r="AV106" s="2">
        <v>9</v>
      </c>
      <c r="AW106" s="2">
        <v>2</v>
      </c>
      <c r="AX106" s="3">
        <v>0.69314718055994529</v>
      </c>
      <c r="AY106" s="2">
        <v>3</v>
      </c>
      <c r="AZ106" s="3">
        <v>1.0986122886681098</v>
      </c>
      <c r="BA106" s="4" t="s">
        <v>121</v>
      </c>
      <c r="BB106" s="6">
        <v>80.426000000000002</v>
      </c>
      <c r="BC106" s="6">
        <v>34.609000000000002</v>
      </c>
      <c r="BD106" s="7">
        <v>27.704000000000001</v>
      </c>
    </row>
    <row r="107" spans="1:56" x14ac:dyDescent="0.25">
      <c r="A107" s="74" t="s">
        <v>123</v>
      </c>
      <c r="B107" s="88">
        <v>0</v>
      </c>
      <c r="C107" s="81">
        <v>0</v>
      </c>
      <c r="D107" s="14">
        <v>0</v>
      </c>
      <c r="E107" s="14">
        <v>43</v>
      </c>
      <c r="F107" s="14">
        <v>0</v>
      </c>
      <c r="G107" s="14">
        <v>66</v>
      </c>
      <c r="H107" s="15">
        <v>1.63</v>
      </c>
      <c r="I107" s="14">
        <v>1</v>
      </c>
      <c r="J107" s="14">
        <v>0</v>
      </c>
      <c r="K107" s="14">
        <v>0</v>
      </c>
      <c r="L107" s="14">
        <v>0</v>
      </c>
      <c r="M107" s="14">
        <v>15</v>
      </c>
      <c r="N107" s="14">
        <v>11</v>
      </c>
      <c r="O107" s="16" t="s">
        <v>56</v>
      </c>
      <c r="P107" s="14">
        <v>3</v>
      </c>
      <c r="Q107" s="14">
        <v>1</v>
      </c>
      <c r="R107" s="16" t="s">
        <v>57</v>
      </c>
      <c r="S107" s="16" t="s">
        <v>57</v>
      </c>
      <c r="T107" s="17">
        <v>24.81</v>
      </c>
      <c r="U107" s="18" t="e">
        <v>#NULL!</v>
      </c>
      <c r="V107" s="18" t="e">
        <v>#NULL!</v>
      </c>
      <c r="W107" s="4"/>
      <c r="X107" s="4"/>
      <c r="Y107" s="4" t="s">
        <v>62</v>
      </c>
      <c r="Z107" s="4"/>
      <c r="AA107" s="4" t="s">
        <v>59</v>
      </c>
      <c r="AB107" s="5" t="e">
        <v>#NULL!</v>
      </c>
      <c r="AC107" s="4"/>
      <c r="AD107" s="5" t="e">
        <v>#NULL!</v>
      </c>
      <c r="AE107" s="4"/>
      <c r="AF107" s="5" t="e">
        <v>#NULL!</v>
      </c>
      <c r="AG107" s="5" t="e">
        <v>#NULL!</v>
      </c>
      <c r="AH107" s="5" t="e">
        <v>#NULL!</v>
      </c>
      <c r="AI107" s="2">
        <v>0</v>
      </c>
      <c r="AJ107" s="4"/>
      <c r="AK107" s="2">
        <v>1</v>
      </c>
      <c r="AL107" s="2">
        <v>-6.5</v>
      </c>
      <c r="AM107" s="2">
        <v>-6.75</v>
      </c>
      <c r="AN107" s="4"/>
      <c r="AO107" s="2">
        <v>4</v>
      </c>
      <c r="AP107" s="3">
        <v>1.6094379124341003</v>
      </c>
      <c r="AQ107" s="5" t="e">
        <v>#NULL!</v>
      </c>
      <c r="AR107" s="5" t="e">
        <v>#NULL!</v>
      </c>
      <c r="AS107" s="2">
        <v>37</v>
      </c>
      <c r="AT107" s="2">
        <v>39</v>
      </c>
      <c r="AU107" s="2">
        <v>32</v>
      </c>
      <c r="AV107" s="2">
        <v>9</v>
      </c>
      <c r="AW107" s="2">
        <v>1</v>
      </c>
      <c r="AX107" s="3">
        <v>0</v>
      </c>
      <c r="AY107" s="2">
        <v>2</v>
      </c>
      <c r="AZ107" s="3">
        <v>0.69314718055994529</v>
      </c>
      <c r="BA107" s="4" t="s">
        <v>123</v>
      </c>
      <c r="BB107" s="6">
        <v>73.662000000000006</v>
      </c>
      <c r="BC107" s="6">
        <v>50.970999999999997</v>
      </c>
      <c r="BD107" s="7">
        <v>48.55</v>
      </c>
    </row>
    <row r="108" spans="1:56" x14ac:dyDescent="0.25">
      <c r="A108" s="74" t="s">
        <v>124</v>
      </c>
      <c r="B108" s="88">
        <v>0</v>
      </c>
      <c r="C108" s="81">
        <v>0</v>
      </c>
      <c r="D108" s="14">
        <v>0</v>
      </c>
      <c r="E108" s="14">
        <v>27</v>
      </c>
      <c r="F108" s="14">
        <v>0</v>
      </c>
      <c r="G108" s="14">
        <v>55</v>
      </c>
      <c r="H108" s="15">
        <v>1.58</v>
      </c>
      <c r="I108" s="14">
        <v>0</v>
      </c>
      <c r="J108" s="14">
        <v>1</v>
      </c>
      <c r="K108" s="14">
        <v>0</v>
      </c>
      <c r="L108" s="14">
        <v>0</v>
      </c>
      <c r="M108" s="14">
        <v>2</v>
      </c>
      <c r="N108" s="14">
        <v>9</v>
      </c>
      <c r="O108" s="16" t="s">
        <v>57</v>
      </c>
      <c r="P108" s="14">
        <v>0</v>
      </c>
      <c r="Q108" s="14">
        <v>1</v>
      </c>
      <c r="R108" s="16" t="s">
        <v>57</v>
      </c>
      <c r="S108" s="16" t="s">
        <v>57</v>
      </c>
      <c r="T108" s="17">
        <v>22</v>
      </c>
      <c r="U108" s="18" t="e">
        <v>#NULL!</v>
      </c>
      <c r="V108" s="18" t="e">
        <v>#NULL!</v>
      </c>
      <c r="W108" s="4"/>
      <c r="X108" s="4"/>
      <c r="Y108" s="4" t="s">
        <v>62</v>
      </c>
      <c r="Z108" s="4"/>
      <c r="AA108" s="4" t="s">
        <v>59</v>
      </c>
      <c r="AB108" s="5" t="e">
        <v>#NULL!</v>
      </c>
      <c r="AC108" s="4"/>
      <c r="AD108" s="5" t="e">
        <v>#NULL!</v>
      </c>
      <c r="AE108" s="4"/>
      <c r="AF108" s="5" t="e">
        <v>#NULL!</v>
      </c>
      <c r="AG108" s="5" t="e">
        <v>#NULL!</v>
      </c>
      <c r="AH108" s="5" t="e">
        <v>#NULL!</v>
      </c>
      <c r="AI108" s="2">
        <v>0</v>
      </c>
      <c r="AJ108" s="4"/>
      <c r="AK108" s="2">
        <v>1</v>
      </c>
      <c r="AL108" s="2">
        <v>-1.5</v>
      </c>
      <c r="AM108" s="2">
        <v>-2</v>
      </c>
      <c r="AN108" s="4"/>
      <c r="AO108" s="2">
        <v>6</v>
      </c>
      <c r="AP108" s="3">
        <v>1.9459101490553132</v>
      </c>
      <c r="AQ108" s="5" t="e">
        <v>#NULL!</v>
      </c>
      <c r="AR108" s="5" t="e">
        <v>#NULL!</v>
      </c>
      <c r="AS108" s="2">
        <v>38</v>
      </c>
      <c r="AT108" s="2">
        <v>35</v>
      </c>
      <c r="AU108" s="2">
        <v>33</v>
      </c>
      <c r="AV108" s="2">
        <v>6</v>
      </c>
      <c r="AW108" s="2">
        <v>2</v>
      </c>
      <c r="AX108" s="3">
        <v>0.69314718055994529</v>
      </c>
      <c r="AY108" s="2">
        <v>2</v>
      </c>
      <c r="AZ108" s="3">
        <v>0.69314718055994529</v>
      </c>
      <c r="BA108" s="4" t="s">
        <v>124</v>
      </c>
      <c r="BB108" s="6">
        <v>71.778999999999996</v>
      </c>
      <c r="BC108" s="6">
        <v>47.472999999999999</v>
      </c>
      <c r="BD108" s="7">
        <v>41.546999999999997</v>
      </c>
    </row>
    <row r="109" spans="1:56" x14ac:dyDescent="0.25">
      <c r="A109" s="74" t="s">
        <v>125</v>
      </c>
      <c r="B109" s="88">
        <v>0</v>
      </c>
      <c r="C109" s="81">
        <v>0</v>
      </c>
      <c r="D109" s="14">
        <v>0</v>
      </c>
      <c r="E109" s="14">
        <v>45</v>
      </c>
      <c r="F109" s="14">
        <v>1</v>
      </c>
      <c r="G109" s="14">
        <v>81</v>
      </c>
      <c r="H109" s="15">
        <v>1.74</v>
      </c>
      <c r="I109" s="14">
        <v>0</v>
      </c>
      <c r="J109" s="14">
        <v>1</v>
      </c>
      <c r="K109" s="14">
        <v>0</v>
      </c>
      <c r="L109" s="14">
        <v>0</v>
      </c>
      <c r="M109" s="14">
        <v>2</v>
      </c>
      <c r="N109" s="14">
        <v>2</v>
      </c>
      <c r="O109" s="16" t="s">
        <v>56</v>
      </c>
      <c r="P109" s="14">
        <v>3</v>
      </c>
      <c r="Q109" s="14">
        <v>0</v>
      </c>
      <c r="R109" s="16" t="s">
        <v>57</v>
      </c>
      <c r="S109" s="16" t="s">
        <v>57</v>
      </c>
      <c r="T109" s="17">
        <v>26.73</v>
      </c>
      <c r="U109" s="18" t="e">
        <v>#NULL!</v>
      </c>
      <c r="V109" s="18" t="e">
        <v>#NULL!</v>
      </c>
      <c r="W109" s="4"/>
      <c r="X109" s="4"/>
      <c r="Y109" s="4" t="s">
        <v>126</v>
      </c>
      <c r="Z109" s="4"/>
      <c r="AA109" s="4" t="s">
        <v>59</v>
      </c>
      <c r="AB109" s="5" t="e">
        <v>#NULL!</v>
      </c>
      <c r="AC109" s="4"/>
      <c r="AD109" s="5" t="e">
        <v>#NULL!</v>
      </c>
      <c r="AE109" s="4"/>
      <c r="AF109" s="5" t="e">
        <v>#NULL!</v>
      </c>
      <c r="AG109" s="5" t="e">
        <v>#NULL!</v>
      </c>
      <c r="AH109" s="5" t="e">
        <v>#NULL!</v>
      </c>
      <c r="AI109" s="2">
        <v>2</v>
      </c>
      <c r="AJ109" s="4" t="s">
        <v>127</v>
      </c>
      <c r="AK109" s="2">
        <v>1</v>
      </c>
      <c r="AL109" s="2">
        <v>-3</v>
      </c>
      <c r="AM109" s="2">
        <v>-2</v>
      </c>
      <c r="AN109" s="4" t="s">
        <v>128</v>
      </c>
      <c r="AO109" s="2">
        <v>6</v>
      </c>
      <c r="AP109" s="3">
        <v>1.9459101490553132</v>
      </c>
      <c r="AQ109" s="5" t="e">
        <v>#NULL!</v>
      </c>
      <c r="AR109" s="5" t="e">
        <v>#NULL!</v>
      </c>
      <c r="AS109" s="2">
        <v>35</v>
      </c>
      <c r="AT109" s="2">
        <v>34</v>
      </c>
      <c r="AU109" s="2">
        <v>38</v>
      </c>
      <c r="AV109" s="2">
        <v>7</v>
      </c>
      <c r="AW109" s="2">
        <v>2</v>
      </c>
      <c r="AX109" s="3">
        <v>0.69314718055994529</v>
      </c>
      <c r="AY109" s="2">
        <v>2</v>
      </c>
      <c r="AZ109" s="3">
        <v>0.69314718055994529</v>
      </c>
      <c r="BA109" s="4" t="s">
        <v>125</v>
      </c>
      <c r="BB109" s="6">
        <v>69.325000000000003</v>
      </c>
      <c r="BC109" s="6">
        <v>64.254999999999995</v>
      </c>
      <c r="BD109" s="7">
        <v>30.544</v>
      </c>
    </row>
    <row r="110" spans="1:56" x14ac:dyDescent="0.25">
      <c r="A110" s="74" t="s">
        <v>129</v>
      </c>
      <c r="B110" s="88">
        <v>0</v>
      </c>
      <c r="C110" s="81">
        <v>0</v>
      </c>
      <c r="D110" s="14">
        <v>0</v>
      </c>
      <c r="E110" s="14">
        <v>29</v>
      </c>
      <c r="F110" s="14">
        <v>0</v>
      </c>
      <c r="G110" s="14">
        <v>70</v>
      </c>
      <c r="H110" s="15">
        <v>1.76</v>
      </c>
      <c r="I110" s="14">
        <v>0</v>
      </c>
      <c r="J110" s="14">
        <v>1</v>
      </c>
      <c r="K110" s="14">
        <v>0</v>
      </c>
      <c r="L110" s="14">
        <v>0</v>
      </c>
      <c r="M110" s="14">
        <v>2</v>
      </c>
      <c r="N110" s="14">
        <v>2</v>
      </c>
      <c r="O110" s="16" t="s">
        <v>57</v>
      </c>
      <c r="P110" s="14">
        <v>0</v>
      </c>
      <c r="Q110" s="14">
        <v>1</v>
      </c>
      <c r="R110" s="16" t="s">
        <v>56</v>
      </c>
      <c r="S110" s="16" t="s">
        <v>57</v>
      </c>
      <c r="T110" s="17">
        <v>22.58</v>
      </c>
      <c r="U110" s="18" t="e">
        <v>#NULL!</v>
      </c>
      <c r="V110" s="18" t="e">
        <v>#NULL!</v>
      </c>
      <c r="W110" s="4"/>
      <c r="X110" s="4"/>
      <c r="Y110" s="4" t="s">
        <v>62</v>
      </c>
      <c r="Z110" s="4"/>
      <c r="AA110" s="4" t="s">
        <v>59</v>
      </c>
      <c r="AB110" s="5" t="e">
        <v>#NULL!</v>
      </c>
      <c r="AC110" s="4"/>
      <c r="AD110" s="5" t="e">
        <v>#NULL!</v>
      </c>
      <c r="AE110" s="4"/>
      <c r="AF110" s="5" t="e">
        <v>#NULL!</v>
      </c>
      <c r="AG110" s="5" t="e">
        <v>#NULL!</v>
      </c>
      <c r="AH110" s="5" t="e">
        <v>#NULL!</v>
      </c>
      <c r="AI110" s="2">
        <v>0</v>
      </c>
      <c r="AJ110" s="4"/>
      <c r="AK110" s="2">
        <v>0</v>
      </c>
      <c r="AL110" s="2">
        <v>0</v>
      </c>
      <c r="AM110" s="2">
        <v>0</v>
      </c>
      <c r="AN110" s="4"/>
      <c r="AO110" s="2">
        <v>4</v>
      </c>
      <c r="AP110" s="3">
        <v>1.6094379124341003</v>
      </c>
      <c r="AQ110" s="5" t="e">
        <v>#NULL!</v>
      </c>
      <c r="AR110" s="5" t="e">
        <v>#NULL!</v>
      </c>
      <c r="AS110" s="2">
        <v>38</v>
      </c>
      <c r="AT110" s="2">
        <v>36</v>
      </c>
      <c r="AU110" s="2">
        <v>39</v>
      </c>
      <c r="AV110" s="2">
        <v>6</v>
      </c>
      <c r="AW110" s="2">
        <v>1</v>
      </c>
      <c r="AX110" s="3">
        <v>0</v>
      </c>
      <c r="AY110" s="2">
        <v>2</v>
      </c>
      <c r="AZ110" s="3">
        <v>0.69314718055994529</v>
      </c>
      <c r="BA110" s="4" t="s">
        <v>129</v>
      </c>
      <c r="BB110" s="6">
        <v>59.271999999999998</v>
      </c>
      <c r="BC110" s="6">
        <v>98.036000000000001</v>
      </c>
      <c r="BD110" s="7">
        <v>111.61</v>
      </c>
    </row>
    <row r="111" spans="1:56" x14ac:dyDescent="0.25">
      <c r="A111" s="74" t="s">
        <v>130</v>
      </c>
      <c r="B111" s="88">
        <v>0</v>
      </c>
      <c r="C111" s="81">
        <v>0</v>
      </c>
      <c r="D111" s="14">
        <v>0</v>
      </c>
      <c r="E111" s="14">
        <v>26</v>
      </c>
      <c r="F111" s="14">
        <v>1</v>
      </c>
      <c r="G111" s="14">
        <v>75</v>
      </c>
      <c r="H111" s="15">
        <v>1.88</v>
      </c>
      <c r="I111" s="14">
        <v>0</v>
      </c>
      <c r="J111" s="14">
        <v>1</v>
      </c>
      <c r="K111" s="14">
        <v>0</v>
      </c>
      <c r="L111" s="14">
        <v>0</v>
      </c>
      <c r="M111" s="14">
        <v>3</v>
      </c>
      <c r="N111" s="14">
        <v>4</v>
      </c>
      <c r="O111" s="16" t="s">
        <v>56</v>
      </c>
      <c r="P111" s="14">
        <v>3</v>
      </c>
      <c r="Q111" s="14">
        <v>1</v>
      </c>
      <c r="R111" s="16" t="s">
        <v>57</v>
      </c>
      <c r="S111" s="16" t="s">
        <v>57</v>
      </c>
      <c r="T111" s="17">
        <v>21.25</v>
      </c>
      <c r="U111" s="18" t="e">
        <v>#NULL!</v>
      </c>
      <c r="V111" s="18" t="e">
        <v>#NULL!</v>
      </c>
      <c r="W111" s="4"/>
      <c r="X111" s="4"/>
      <c r="Y111" s="4"/>
      <c r="Z111" s="4"/>
      <c r="AA111" s="4" t="s">
        <v>59</v>
      </c>
      <c r="AB111" s="5" t="e">
        <v>#NULL!</v>
      </c>
      <c r="AC111" s="4"/>
      <c r="AD111" s="5" t="e">
        <v>#NULL!</v>
      </c>
      <c r="AE111" s="4"/>
      <c r="AF111" s="5" t="e">
        <v>#NULL!</v>
      </c>
      <c r="AG111" s="5" t="e">
        <v>#NULL!</v>
      </c>
      <c r="AH111" s="5" t="e">
        <v>#NULL!</v>
      </c>
      <c r="AI111" s="2">
        <v>0</v>
      </c>
      <c r="AJ111" s="4"/>
      <c r="AK111" s="2">
        <v>0</v>
      </c>
      <c r="AL111" s="2">
        <v>0</v>
      </c>
      <c r="AM111" s="2">
        <v>0</v>
      </c>
      <c r="AN111" s="4"/>
      <c r="AO111" s="2">
        <v>3</v>
      </c>
      <c r="AP111" s="3">
        <v>1.3862943611198906</v>
      </c>
      <c r="AQ111" s="5" t="e">
        <v>#NULL!</v>
      </c>
      <c r="AR111" s="5" t="e">
        <v>#NULL!</v>
      </c>
      <c r="AS111" s="2">
        <v>30</v>
      </c>
      <c r="AT111" s="2">
        <v>26</v>
      </c>
      <c r="AU111" s="2">
        <v>33</v>
      </c>
      <c r="AV111" s="2">
        <v>4</v>
      </c>
      <c r="AW111" s="2">
        <v>3</v>
      </c>
      <c r="AX111" s="3">
        <v>1.0986122886681098</v>
      </c>
      <c r="AY111" s="2">
        <v>3</v>
      </c>
      <c r="AZ111" s="3">
        <v>1.0986122886681098</v>
      </c>
      <c r="BA111" s="4" t="s">
        <v>130</v>
      </c>
      <c r="BB111" s="6">
        <v>50.472000000000001</v>
      </c>
      <c r="BC111" s="6">
        <v>128.47999999999999</v>
      </c>
      <c r="BD111" s="7">
        <v>140.59</v>
      </c>
    </row>
    <row r="112" spans="1:56" x14ac:dyDescent="0.25">
      <c r="A112" s="74" t="s">
        <v>131</v>
      </c>
      <c r="B112" s="88">
        <v>0</v>
      </c>
      <c r="C112" s="81">
        <v>0</v>
      </c>
      <c r="D112" s="14">
        <v>0</v>
      </c>
      <c r="E112" s="14">
        <v>25</v>
      </c>
      <c r="F112" s="14">
        <v>0</v>
      </c>
      <c r="G112" s="14">
        <v>57</v>
      </c>
      <c r="H112" s="15">
        <v>1.74</v>
      </c>
      <c r="I112" s="14">
        <v>0</v>
      </c>
      <c r="J112" s="14">
        <v>1</v>
      </c>
      <c r="K112" s="14">
        <v>0</v>
      </c>
      <c r="L112" s="14">
        <v>0</v>
      </c>
      <c r="M112" s="14">
        <v>2</v>
      </c>
      <c r="N112" s="14">
        <v>2</v>
      </c>
      <c r="O112" s="16" t="s">
        <v>56</v>
      </c>
      <c r="P112" s="14">
        <v>2</v>
      </c>
      <c r="Q112" s="14">
        <v>1</v>
      </c>
      <c r="R112" s="16" t="s">
        <v>57</v>
      </c>
      <c r="S112" s="16" t="s">
        <v>57</v>
      </c>
      <c r="T112" s="17">
        <v>18.809999999999999</v>
      </c>
      <c r="U112" s="18" t="e">
        <v>#NULL!</v>
      </c>
      <c r="V112" s="18" t="e">
        <v>#NULL!</v>
      </c>
      <c r="W112" s="4"/>
      <c r="X112" s="4"/>
      <c r="Y112" s="4" t="s">
        <v>132</v>
      </c>
      <c r="Z112" s="4"/>
      <c r="AA112" s="4" t="s">
        <v>59</v>
      </c>
      <c r="AB112" s="5" t="e">
        <v>#NULL!</v>
      </c>
      <c r="AC112" s="4"/>
      <c r="AD112" s="5" t="e">
        <v>#NULL!</v>
      </c>
      <c r="AE112" s="4"/>
      <c r="AF112" s="5" t="e">
        <v>#NULL!</v>
      </c>
      <c r="AG112" s="5" t="e">
        <v>#NULL!</v>
      </c>
      <c r="AH112" s="5" t="e">
        <v>#NULL!</v>
      </c>
      <c r="AI112" s="2">
        <v>0</v>
      </c>
      <c r="AJ112" s="4"/>
      <c r="AK112" s="2">
        <v>1</v>
      </c>
      <c r="AL112" s="2">
        <v>-2.5</v>
      </c>
      <c r="AM112" s="2">
        <v>-2.25</v>
      </c>
      <c r="AN112" s="4" t="s">
        <v>133</v>
      </c>
      <c r="AO112" s="2">
        <v>2</v>
      </c>
      <c r="AP112" s="3">
        <v>1.0986122886681098</v>
      </c>
      <c r="AQ112" s="5" t="e">
        <v>#NULL!</v>
      </c>
      <c r="AR112" s="5" t="e">
        <v>#NULL!</v>
      </c>
      <c r="AS112" s="2">
        <v>38</v>
      </c>
      <c r="AT112" s="2">
        <v>34</v>
      </c>
      <c r="AU112" s="2">
        <v>40</v>
      </c>
      <c r="AV112" s="2">
        <v>4</v>
      </c>
      <c r="AW112" s="2">
        <v>3</v>
      </c>
      <c r="AX112" s="3">
        <v>1.0986122886681098</v>
      </c>
      <c r="AY112" s="2">
        <v>2</v>
      </c>
      <c r="AZ112" s="3">
        <v>0.69314718055994529</v>
      </c>
      <c r="BA112" s="4" t="s">
        <v>131</v>
      </c>
      <c r="BB112" s="6">
        <v>62.368000000000002</v>
      </c>
      <c r="BC112" s="6">
        <v>64.712999999999994</v>
      </c>
      <c r="BD112" s="7">
        <v>67.48</v>
      </c>
    </row>
    <row r="113" spans="1:56" x14ac:dyDescent="0.25">
      <c r="A113" s="74" t="s">
        <v>134</v>
      </c>
      <c r="B113" s="88">
        <v>0</v>
      </c>
      <c r="C113" s="81">
        <v>0</v>
      </c>
      <c r="D113" s="14">
        <v>0</v>
      </c>
      <c r="E113" s="14">
        <v>32</v>
      </c>
      <c r="F113" s="14">
        <v>1</v>
      </c>
      <c r="G113" s="14">
        <v>86</v>
      </c>
      <c r="H113" s="15">
        <v>1.8</v>
      </c>
      <c r="I113" s="14">
        <v>0</v>
      </c>
      <c r="J113" s="14">
        <v>1</v>
      </c>
      <c r="K113" s="14">
        <v>0</v>
      </c>
      <c r="L113" s="14">
        <v>0</v>
      </c>
      <c r="M113" s="14">
        <v>0</v>
      </c>
      <c r="N113" s="14">
        <v>0</v>
      </c>
      <c r="O113" s="16" t="s">
        <v>57</v>
      </c>
      <c r="P113" s="14">
        <v>0</v>
      </c>
      <c r="Q113" s="14">
        <v>1</v>
      </c>
      <c r="R113" s="16" t="s">
        <v>57</v>
      </c>
      <c r="S113" s="16" t="s">
        <v>57</v>
      </c>
      <c r="T113" s="17">
        <v>26.54</v>
      </c>
      <c r="U113" s="18" t="e">
        <v>#NULL!</v>
      </c>
      <c r="V113" s="18" t="e">
        <v>#NULL!</v>
      </c>
      <c r="W113" s="4"/>
      <c r="X113" s="4"/>
      <c r="Y113" s="4" t="s">
        <v>135</v>
      </c>
      <c r="Z113" s="4"/>
      <c r="AA113" s="4" t="s">
        <v>59</v>
      </c>
      <c r="AB113" s="5" t="e">
        <v>#NULL!</v>
      </c>
      <c r="AC113" s="4"/>
      <c r="AD113" s="5" t="e">
        <v>#NULL!</v>
      </c>
      <c r="AE113" s="4"/>
      <c r="AF113" s="5" t="e">
        <v>#NULL!</v>
      </c>
      <c r="AG113" s="5" t="e">
        <v>#NULL!</v>
      </c>
      <c r="AH113" s="5" t="e">
        <v>#NULL!</v>
      </c>
      <c r="AI113" s="2">
        <v>1</v>
      </c>
      <c r="AJ113" s="4" t="s">
        <v>136</v>
      </c>
      <c r="AK113" s="2">
        <v>2</v>
      </c>
      <c r="AL113" s="2">
        <v>3.75</v>
      </c>
      <c r="AM113" s="2">
        <v>3.75</v>
      </c>
      <c r="AN113" s="4"/>
      <c r="AO113" s="2">
        <v>5</v>
      </c>
      <c r="AP113" s="3">
        <v>1.791759469228055</v>
      </c>
      <c r="AQ113" s="5" t="e">
        <v>#NULL!</v>
      </c>
      <c r="AR113" s="5" t="e">
        <v>#NULL!</v>
      </c>
      <c r="AS113" s="2">
        <v>33</v>
      </c>
      <c r="AT113" s="2">
        <v>38</v>
      </c>
      <c r="AU113" s="2">
        <v>29</v>
      </c>
      <c r="AV113" s="2">
        <v>4</v>
      </c>
      <c r="AW113" s="2">
        <v>1</v>
      </c>
      <c r="AX113" s="3">
        <v>0</v>
      </c>
      <c r="AY113" s="2">
        <v>1</v>
      </c>
      <c r="AZ113" s="3">
        <v>0</v>
      </c>
      <c r="BA113" s="4" t="s">
        <v>134</v>
      </c>
      <c r="BB113" s="6">
        <v>64.013999999999996</v>
      </c>
      <c r="BC113" s="6">
        <v>64.87</v>
      </c>
      <c r="BD113" s="7">
        <v>48.637</v>
      </c>
    </row>
    <row r="114" spans="1:56" x14ac:dyDescent="0.25">
      <c r="A114" s="74" t="s">
        <v>141</v>
      </c>
      <c r="B114" s="88">
        <v>0</v>
      </c>
      <c r="C114" s="81">
        <v>0</v>
      </c>
      <c r="D114" s="14">
        <v>0</v>
      </c>
      <c r="E114" s="14">
        <v>19</v>
      </c>
      <c r="F114" s="14">
        <v>0</v>
      </c>
      <c r="G114" s="14">
        <v>58</v>
      </c>
      <c r="H114" s="15">
        <v>1.63</v>
      </c>
      <c r="I114" s="14">
        <v>0</v>
      </c>
      <c r="J114" s="14">
        <v>1</v>
      </c>
      <c r="K114" s="14">
        <v>0</v>
      </c>
      <c r="L114" s="14">
        <v>0</v>
      </c>
      <c r="M114" s="18" t="e">
        <v>#NULL!</v>
      </c>
      <c r="N114" s="18" t="e">
        <v>#NULL!</v>
      </c>
      <c r="O114" s="16" t="s">
        <v>56</v>
      </c>
      <c r="P114" s="14">
        <v>2</v>
      </c>
      <c r="Q114" s="14">
        <v>1</v>
      </c>
      <c r="R114" s="16" t="s">
        <v>56</v>
      </c>
      <c r="S114" s="16" t="s">
        <v>57</v>
      </c>
      <c r="T114" s="17">
        <v>21.829952199932254</v>
      </c>
      <c r="U114" s="18" t="e">
        <v>#NULL!</v>
      </c>
      <c r="V114" s="18" t="e">
        <v>#NULL!</v>
      </c>
      <c r="W114" s="4"/>
      <c r="X114" s="4"/>
      <c r="Y114" s="4"/>
      <c r="Z114" s="4"/>
      <c r="AA114" s="4" t="s">
        <v>59</v>
      </c>
      <c r="AB114" s="5" t="e">
        <v>#NULL!</v>
      </c>
      <c r="AC114" s="4"/>
      <c r="AD114" s="5" t="e">
        <v>#NULL!</v>
      </c>
      <c r="AE114" s="4"/>
      <c r="AF114" s="5" t="e">
        <v>#NULL!</v>
      </c>
      <c r="AG114" s="5" t="e">
        <v>#NULL!</v>
      </c>
      <c r="AH114" s="5" t="e">
        <v>#NULL!</v>
      </c>
      <c r="AI114" s="5" t="e">
        <v>#NULL!</v>
      </c>
      <c r="AJ114" s="4"/>
      <c r="AK114" s="2">
        <v>2</v>
      </c>
      <c r="AL114" s="2">
        <v>3.25</v>
      </c>
      <c r="AM114" s="2">
        <v>2.75</v>
      </c>
      <c r="AN114" s="4"/>
      <c r="AO114" s="2">
        <v>4</v>
      </c>
      <c r="AP114" s="3">
        <v>1.6094379124341003</v>
      </c>
      <c r="AQ114" s="5" t="e">
        <v>#NULL!</v>
      </c>
      <c r="AR114" s="5" t="e">
        <v>#NULL!</v>
      </c>
      <c r="AS114" s="5" t="e">
        <v>#NULL!</v>
      </c>
      <c r="AT114" s="5" t="e">
        <v>#NULL!</v>
      </c>
      <c r="AU114" s="5" t="e">
        <v>#NULL!</v>
      </c>
      <c r="AV114" s="5" t="e">
        <v>#NULL!</v>
      </c>
      <c r="AW114" s="5" t="e">
        <v>#NULL!</v>
      </c>
      <c r="AX114" s="5" t="e">
        <v>#NULL!</v>
      </c>
      <c r="AY114" s="5" t="e">
        <v>#NULL!</v>
      </c>
      <c r="AZ114" s="5" t="e">
        <v>#NULL!</v>
      </c>
      <c r="BA114" s="4" t="s">
        <v>141</v>
      </c>
      <c r="BB114" s="6">
        <v>72.179000000000002</v>
      </c>
      <c r="BC114" s="6">
        <v>25.388999999999999</v>
      </c>
      <c r="BD114" s="7">
        <v>10.98</v>
      </c>
    </row>
    <row r="115" spans="1:56" x14ac:dyDescent="0.25">
      <c r="A115" s="74" t="s">
        <v>142</v>
      </c>
      <c r="B115" s="88">
        <v>0</v>
      </c>
      <c r="C115" s="81">
        <v>0</v>
      </c>
      <c r="D115" s="14">
        <v>0</v>
      </c>
      <c r="E115" s="14">
        <v>27</v>
      </c>
      <c r="F115" s="14">
        <v>0</v>
      </c>
      <c r="G115" s="14">
        <v>49</v>
      </c>
      <c r="H115" s="15">
        <v>1.68</v>
      </c>
      <c r="I115" s="14">
        <v>0</v>
      </c>
      <c r="J115" s="14">
        <v>1</v>
      </c>
      <c r="K115" s="14">
        <v>0</v>
      </c>
      <c r="L115" s="14">
        <v>0</v>
      </c>
      <c r="M115" s="18" t="e">
        <v>#NULL!</v>
      </c>
      <c r="N115" s="18" t="e">
        <v>#NULL!</v>
      </c>
      <c r="O115" s="16" t="s">
        <v>56</v>
      </c>
      <c r="P115" s="14">
        <v>3</v>
      </c>
      <c r="Q115" s="14">
        <v>1</v>
      </c>
      <c r="R115" s="16" t="s">
        <v>56</v>
      </c>
      <c r="S115" s="16" t="s">
        <v>57</v>
      </c>
      <c r="T115" s="17">
        <v>17.361111111111114</v>
      </c>
      <c r="U115" s="18" t="e">
        <v>#NULL!</v>
      </c>
      <c r="V115" s="18" t="e">
        <v>#NULL!</v>
      </c>
      <c r="W115" s="4"/>
      <c r="X115" s="4"/>
      <c r="Y115" s="4"/>
      <c r="Z115" s="4"/>
      <c r="AA115" s="4" t="s">
        <v>59</v>
      </c>
      <c r="AB115" s="5" t="e">
        <v>#NULL!</v>
      </c>
      <c r="AC115" s="4"/>
      <c r="AD115" s="5" t="e">
        <v>#NULL!</v>
      </c>
      <c r="AE115" s="4"/>
      <c r="AF115" s="5" t="e">
        <v>#NULL!</v>
      </c>
      <c r="AG115" s="5" t="e">
        <v>#NULL!</v>
      </c>
      <c r="AH115" s="5" t="e">
        <v>#NULL!</v>
      </c>
      <c r="AI115" s="5" t="e">
        <v>#NULL!</v>
      </c>
      <c r="AJ115" s="4"/>
      <c r="AK115" s="2">
        <v>2</v>
      </c>
      <c r="AL115" s="2">
        <v>1.25</v>
      </c>
      <c r="AM115" s="2">
        <v>1.25</v>
      </c>
      <c r="AN115" s="4"/>
      <c r="AO115" s="2">
        <v>5</v>
      </c>
      <c r="AP115" s="3">
        <v>1.791759469228055</v>
      </c>
      <c r="AQ115" s="5" t="e">
        <v>#NULL!</v>
      </c>
      <c r="AR115" s="5" t="e">
        <v>#NULL!</v>
      </c>
      <c r="AS115" s="5" t="e">
        <v>#NULL!</v>
      </c>
      <c r="AT115" s="5" t="e">
        <v>#NULL!</v>
      </c>
      <c r="AU115" s="5" t="e">
        <v>#NULL!</v>
      </c>
      <c r="AV115" s="5" t="e">
        <v>#NULL!</v>
      </c>
      <c r="AW115" s="5" t="e">
        <v>#NULL!</v>
      </c>
      <c r="AX115" s="5" t="e">
        <v>#NULL!</v>
      </c>
      <c r="AY115" s="5" t="e">
        <v>#NULL!</v>
      </c>
      <c r="AZ115" s="5" t="e">
        <v>#NULL!</v>
      </c>
      <c r="BA115" s="4" t="s">
        <v>142</v>
      </c>
      <c r="BB115" s="6">
        <v>65</v>
      </c>
      <c r="BC115" s="6">
        <v>33.752000000000002</v>
      </c>
      <c r="BD115" s="7">
        <v>28.116</v>
      </c>
    </row>
    <row r="116" spans="1:56" x14ac:dyDescent="0.25">
      <c r="A116" s="74" t="s">
        <v>143</v>
      </c>
      <c r="B116" s="88">
        <v>0</v>
      </c>
      <c r="C116" s="81">
        <v>0</v>
      </c>
      <c r="D116" s="14">
        <v>0</v>
      </c>
      <c r="E116" s="14">
        <v>26</v>
      </c>
      <c r="F116" s="14">
        <v>0</v>
      </c>
      <c r="G116" s="14">
        <v>66</v>
      </c>
      <c r="H116" s="15">
        <v>1.73</v>
      </c>
      <c r="I116" s="14">
        <v>0</v>
      </c>
      <c r="J116" s="14">
        <v>1</v>
      </c>
      <c r="K116" s="14">
        <v>0</v>
      </c>
      <c r="L116" s="14">
        <v>0</v>
      </c>
      <c r="M116" s="18" t="e">
        <v>#NULL!</v>
      </c>
      <c r="N116" s="18" t="e">
        <v>#NULL!</v>
      </c>
      <c r="O116" s="16" t="s">
        <v>56</v>
      </c>
      <c r="P116" s="14">
        <v>1</v>
      </c>
      <c r="Q116" s="14">
        <v>1</v>
      </c>
      <c r="R116" s="16" t="s">
        <v>56</v>
      </c>
      <c r="S116" s="16" t="s">
        <v>57</v>
      </c>
      <c r="T116" s="17">
        <v>22.052190183434128</v>
      </c>
      <c r="U116" s="18" t="e">
        <v>#NULL!</v>
      </c>
      <c r="V116" s="18" t="e">
        <v>#NULL!</v>
      </c>
      <c r="W116" s="4"/>
      <c r="X116" s="4"/>
      <c r="Y116" s="4"/>
      <c r="Z116" s="4"/>
      <c r="AA116" s="4" t="s">
        <v>59</v>
      </c>
      <c r="AB116" s="5" t="e">
        <v>#NULL!</v>
      </c>
      <c r="AC116" s="4"/>
      <c r="AD116" s="5" t="e">
        <v>#NULL!</v>
      </c>
      <c r="AE116" s="4"/>
      <c r="AF116" s="5" t="e">
        <v>#NULL!</v>
      </c>
      <c r="AG116" s="5" t="e">
        <v>#NULL!</v>
      </c>
      <c r="AH116" s="5" t="e">
        <v>#NULL!</v>
      </c>
      <c r="AI116" s="5" t="e">
        <v>#NULL!</v>
      </c>
      <c r="AJ116" s="4"/>
      <c r="AK116" s="5" t="e">
        <v>#NULL!</v>
      </c>
      <c r="AL116" s="5" t="e">
        <v>#NULL!</v>
      </c>
      <c r="AM116" s="5" t="e">
        <v>#NULL!</v>
      </c>
      <c r="AN116" s="4"/>
      <c r="AO116" s="2">
        <v>0</v>
      </c>
      <c r="AP116" s="3">
        <v>0</v>
      </c>
      <c r="AQ116" s="5" t="e">
        <v>#NULL!</v>
      </c>
      <c r="AR116" s="5" t="e">
        <v>#NULL!</v>
      </c>
      <c r="AS116" s="5" t="e">
        <v>#NULL!</v>
      </c>
      <c r="AT116" s="5" t="e">
        <v>#NULL!</v>
      </c>
      <c r="AU116" s="5" t="e">
        <v>#NULL!</v>
      </c>
      <c r="AV116" s="5" t="e">
        <v>#NULL!</v>
      </c>
      <c r="AW116" s="5" t="e">
        <v>#NULL!</v>
      </c>
      <c r="AX116" s="5" t="e">
        <v>#NULL!</v>
      </c>
      <c r="AY116" s="5" t="e">
        <v>#NULL!</v>
      </c>
      <c r="AZ116" s="5" t="e">
        <v>#NULL!</v>
      </c>
      <c r="BA116" s="4" t="s">
        <v>143</v>
      </c>
      <c r="BB116" s="6">
        <v>64.036000000000001</v>
      </c>
      <c r="BC116" s="6">
        <v>31.54</v>
      </c>
      <c r="BD116" s="7">
        <v>20.137</v>
      </c>
    </row>
    <row r="117" spans="1:56" x14ac:dyDescent="0.25">
      <c r="A117" s="74" t="s">
        <v>144</v>
      </c>
      <c r="B117" s="88">
        <v>0</v>
      </c>
      <c r="C117" s="81">
        <v>0</v>
      </c>
      <c r="D117" s="14">
        <v>0</v>
      </c>
      <c r="E117" s="14">
        <v>21</v>
      </c>
      <c r="F117" s="14">
        <v>1</v>
      </c>
      <c r="G117" s="14">
        <v>72</v>
      </c>
      <c r="H117" s="15">
        <v>1.85</v>
      </c>
      <c r="I117" s="14">
        <v>0</v>
      </c>
      <c r="J117" s="14">
        <v>1</v>
      </c>
      <c r="K117" s="14">
        <v>0</v>
      </c>
      <c r="L117" s="14">
        <v>0</v>
      </c>
      <c r="M117" s="18" t="e">
        <v>#NULL!</v>
      </c>
      <c r="N117" s="18" t="e">
        <v>#NULL!</v>
      </c>
      <c r="O117" s="16" t="s">
        <v>56</v>
      </c>
      <c r="P117" s="14">
        <v>2</v>
      </c>
      <c r="Q117" s="14">
        <v>1</v>
      </c>
      <c r="R117" s="16" t="s">
        <v>57</v>
      </c>
      <c r="S117" s="16" t="s">
        <v>57</v>
      </c>
      <c r="T117" s="17">
        <v>21.037253469685901</v>
      </c>
      <c r="U117" s="18" t="e">
        <v>#NULL!</v>
      </c>
      <c r="V117" s="18" t="e">
        <v>#NULL!</v>
      </c>
      <c r="W117" s="4"/>
      <c r="X117" s="4"/>
      <c r="Y117" s="4"/>
      <c r="Z117" s="4"/>
      <c r="AA117" s="4" t="s">
        <v>59</v>
      </c>
      <c r="AB117" s="5" t="e">
        <v>#NULL!</v>
      </c>
      <c r="AC117" s="4"/>
      <c r="AD117" s="5" t="e">
        <v>#NULL!</v>
      </c>
      <c r="AE117" s="4"/>
      <c r="AF117" s="5" t="e">
        <v>#NULL!</v>
      </c>
      <c r="AG117" s="5" t="e">
        <v>#NULL!</v>
      </c>
      <c r="AH117" s="5" t="e">
        <v>#NULL!</v>
      </c>
      <c r="AI117" s="5" t="e">
        <v>#NULL!</v>
      </c>
      <c r="AJ117" s="4"/>
      <c r="AK117" s="2">
        <v>0</v>
      </c>
      <c r="AL117" s="2">
        <v>0</v>
      </c>
      <c r="AM117" s="2">
        <v>0</v>
      </c>
      <c r="AN117" s="4"/>
      <c r="AO117" s="2">
        <v>3.5</v>
      </c>
      <c r="AP117" s="3">
        <v>1.5040773967762742</v>
      </c>
      <c r="AQ117" s="5" t="e">
        <v>#NULL!</v>
      </c>
      <c r="AR117" s="5" t="e">
        <v>#NULL!</v>
      </c>
      <c r="AS117" s="5" t="e">
        <v>#NULL!</v>
      </c>
      <c r="AT117" s="5" t="e">
        <v>#NULL!</v>
      </c>
      <c r="AU117" s="5" t="e">
        <v>#NULL!</v>
      </c>
      <c r="AV117" s="5" t="e">
        <v>#NULL!</v>
      </c>
      <c r="AW117" s="5" t="e">
        <v>#NULL!</v>
      </c>
      <c r="AX117" s="5" t="e">
        <v>#NULL!</v>
      </c>
      <c r="AY117" s="5" t="e">
        <v>#NULL!</v>
      </c>
      <c r="AZ117" s="5" t="e">
        <v>#NULL!</v>
      </c>
      <c r="BA117" s="4" t="s">
        <v>144</v>
      </c>
      <c r="BB117" s="6">
        <v>75.453999999999994</v>
      </c>
      <c r="BC117" s="6">
        <v>29.965</v>
      </c>
      <c r="BD117" s="7">
        <v>13.206</v>
      </c>
    </row>
    <row r="118" spans="1:56" x14ac:dyDescent="0.25">
      <c r="A118" s="74" t="s">
        <v>145</v>
      </c>
      <c r="B118" s="88">
        <v>0</v>
      </c>
      <c r="C118" s="81">
        <v>0</v>
      </c>
      <c r="D118" s="14">
        <v>0</v>
      </c>
      <c r="E118" s="14">
        <v>25</v>
      </c>
      <c r="F118" s="14">
        <v>1</v>
      </c>
      <c r="G118" s="14">
        <v>75</v>
      </c>
      <c r="H118" s="15">
        <v>1.8</v>
      </c>
      <c r="I118" s="14">
        <v>0</v>
      </c>
      <c r="J118" s="14">
        <v>1</v>
      </c>
      <c r="K118" s="14">
        <v>0</v>
      </c>
      <c r="L118" s="14">
        <v>0</v>
      </c>
      <c r="M118" s="18" t="e">
        <v>#NULL!</v>
      </c>
      <c r="N118" s="18" t="e">
        <v>#NULL!</v>
      </c>
      <c r="O118" s="16" t="s">
        <v>56</v>
      </c>
      <c r="P118" s="14">
        <v>1</v>
      </c>
      <c r="Q118" s="14">
        <v>1</v>
      </c>
      <c r="R118" s="16" t="s">
        <v>57</v>
      </c>
      <c r="S118" s="16" t="s">
        <v>57</v>
      </c>
      <c r="T118" s="17">
        <v>23.148148148148145</v>
      </c>
      <c r="U118" s="18" t="e">
        <v>#NULL!</v>
      </c>
      <c r="V118" s="18" t="e">
        <v>#NULL!</v>
      </c>
      <c r="W118" s="4"/>
      <c r="X118" s="4"/>
      <c r="Y118" s="4"/>
      <c r="Z118" s="4"/>
      <c r="AA118" s="4" t="s">
        <v>59</v>
      </c>
      <c r="AB118" s="5" t="e">
        <v>#NULL!</v>
      </c>
      <c r="AC118" s="4"/>
      <c r="AD118" s="5" t="e">
        <v>#NULL!</v>
      </c>
      <c r="AE118" s="4"/>
      <c r="AF118" s="5" t="e">
        <v>#NULL!</v>
      </c>
      <c r="AG118" s="5" t="e">
        <v>#NULL!</v>
      </c>
      <c r="AH118" s="5" t="e">
        <v>#NULL!</v>
      </c>
      <c r="AI118" s="5" t="e">
        <v>#NULL!</v>
      </c>
      <c r="AJ118" s="4"/>
      <c r="AK118" s="2">
        <v>2</v>
      </c>
      <c r="AL118" s="2">
        <v>2</v>
      </c>
      <c r="AM118" s="2">
        <v>2</v>
      </c>
      <c r="AN118" s="4"/>
      <c r="AO118" s="2">
        <v>2</v>
      </c>
      <c r="AP118" s="3">
        <v>1.0986122886681098</v>
      </c>
      <c r="AQ118" s="5" t="e">
        <v>#NULL!</v>
      </c>
      <c r="AR118" s="5" t="e">
        <v>#NULL!</v>
      </c>
      <c r="AS118" s="5" t="e">
        <v>#NULL!</v>
      </c>
      <c r="AT118" s="5" t="e">
        <v>#NULL!</v>
      </c>
      <c r="AU118" s="5" t="e">
        <v>#NULL!</v>
      </c>
      <c r="AV118" s="5" t="e">
        <v>#NULL!</v>
      </c>
      <c r="AW118" s="5" t="e">
        <v>#NULL!</v>
      </c>
      <c r="AX118" s="5" t="e">
        <v>#NULL!</v>
      </c>
      <c r="AY118" s="5" t="e">
        <v>#NULL!</v>
      </c>
      <c r="AZ118" s="5" t="e">
        <v>#NULL!</v>
      </c>
      <c r="BA118" s="4" t="s">
        <v>145</v>
      </c>
      <c r="BB118" s="6">
        <v>59.093000000000004</v>
      </c>
      <c r="BC118" s="6">
        <v>32.088999999999999</v>
      </c>
      <c r="BD118" s="7">
        <v>26.431000000000001</v>
      </c>
    </row>
    <row r="119" spans="1:56" x14ac:dyDescent="0.25">
      <c r="A119" s="74" t="s">
        <v>146</v>
      </c>
      <c r="B119" s="88">
        <v>0</v>
      </c>
      <c r="C119" s="81">
        <v>0</v>
      </c>
      <c r="D119" s="14">
        <v>0</v>
      </c>
      <c r="E119" s="14">
        <v>32</v>
      </c>
      <c r="F119" s="14">
        <v>1</v>
      </c>
      <c r="G119" s="14">
        <v>63</v>
      </c>
      <c r="H119" s="15">
        <v>1.69</v>
      </c>
      <c r="I119" s="14">
        <v>0</v>
      </c>
      <c r="J119" s="14">
        <v>1</v>
      </c>
      <c r="K119" s="14">
        <v>0</v>
      </c>
      <c r="L119" s="14">
        <v>0</v>
      </c>
      <c r="M119" s="18" t="e">
        <v>#NULL!</v>
      </c>
      <c r="N119" s="18" t="e">
        <v>#NULL!</v>
      </c>
      <c r="O119" s="16" t="s">
        <v>57</v>
      </c>
      <c r="P119" s="14">
        <v>0</v>
      </c>
      <c r="Q119" s="14">
        <v>1</v>
      </c>
      <c r="R119" s="16" t="s">
        <v>56</v>
      </c>
      <c r="S119" s="16" t="s">
        <v>57</v>
      </c>
      <c r="T119" s="17">
        <v>22.058051188683873</v>
      </c>
      <c r="U119" s="18" t="e">
        <v>#NULL!</v>
      </c>
      <c r="V119" s="18" t="e">
        <v>#NULL!</v>
      </c>
      <c r="W119" s="4"/>
      <c r="X119" s="4"/>
      <c r="Y119" s="4"/>
      <c r="Z119" s="4"/>
      <c r="AA119" s="4" t="s">
        <v>59</v>
      </c>
      <c r="AB119" s="5" t="e">
        <v>#NULL!</v>
      </c>
      <c r="AC119" s="4"/>
      <c r="AD119" s="5" t="e">
        <v>#NULL!</v>
      </c>
      <c r="AE119" s="4"/>
      <c r="AF119" s="5" t="e">
        <v>#NULL!</v>
      </c>
      <c r="AG119" s="5" t="e">
        <v>#NULL!</v>
      </c>
      <c r="AH119" s="5" t="e">
        <v>#NULL!</v>
      </c>
      <c r="AI119" s="5" t="e">
        <v>#NULL!</v>
      </c>
      <c r="AJ119" s="4"/>
      <c r="AK119" s="2">
        <v>1</v>
      </c>
      <c r="AL119" s="2">
        <v>-2.5</v>
      </c>
      <c r="AM119" s="2">
        <v>-2.5</v>
      </c>
      <c r="AN119" s="4"/>
      <c r="AO119" s="2">
        <v>5.5</v>
      </c>
      <c r="AP119" s="3">
        <v>1.8718021769015913</v>
      </c>
      <c r="AQ119" s="5" t="e">
        <v>#NULL!</v>
      </c>
      <c r="AR119" s="5" t="e">
        <v>#NULL!</v>
      </c>
      <c r="AS119" s="5" t="e">
        <v>#NULL!</v>
      </c>
      <c r="AT119" s="5" t="e">
        <v>#NULL!</v>
      </c>
      <c r="AU119" s="5" t="e">
        <v>#NULL!</v>
      </c>
      <c r="AV119" s="5" t="e">
        <v>#NULL!</v>
      </c>
      <c r="AW119" s="5" t="e">
        <v>#NULL!</v>
      </c>
      <c r="AX119" s="5" t="e">
        <v>#NULL!</v>
      </c>
      <c r="AY119" s="5" t="e">
        <v>#NULL!</v>
      </c>
      <c r="AZ119" s="5" t="e">
        <v>#NULL!</v>
      </c>
      <c r="BA119" s="4" t="s">
        <v>146</v>
      </c>
      <c r="BB119" s="6">
        <v>61.615000000000002</v>
      </c>
      <c r="BC119" s="6">
        <v>53.917999999999999</v>
      </c>
      <c r="BD119" s="7">
        <v>42.79</v>
      </c>
    </row>
    <row r="120" spans="1:56" x14ac:dyDescent="0.25">
      <c r="A120" s="74" t="s">
        <v>147</v>
      </c>
      <c r="B120" s="88">
        <v>0</v>
      </c>
      <c r="C120" s="81">
        <v>0</v>
      </c>
      <c r="D120" s="14">
        <v>0</v>
      </c>
      <c r="E120" s="14">
        <v>28</v>
      </c>
      <c r="F120" s="14">
        <v>1</v>
      </c>
      <c r="G120" s="14">
        <v>73</v>
      </c>
      <c r="H120" s="15">
        <v>1.78</v>
      </c>
      <c r="I120" s="14">
        <v>0</v>
      </c>
      <c r="J120" s="14">
        <v>1</v>
      </c>
      <c r="K120" s="14">
        <v>0</v>
      </c>
      <c r="L120" s="14">
        <v>0</v>
      </c>
      <c r="M120" s="18" t="e">
        <v>#NULL!</v>
      </c>
      <c r="N120" s="18" t="e">
        <v>#NULL!</v>
      </c>
      <c r="O120" s="16" t="s">
        <v>56</v>
      </c>
      <c r="P120" s="14">
        <v>3</v>
      </c>
      <c r="Q120" s="14">
        <v>1</v>
      </c>
      <c r="R120" s="16" t="s">
        <v>56</v>
      </c>
      <c r="S120" s="16" t="s">
        <v>57</v>
      </c>
      <c r="T120" s="17">
        <v>23.040020199469762</v>
      </c>
      <c r="U120" s="18" t="e">
        <v>#NULL!</v>
      </c>
      <c r="V120" s="18" t="e">
        <v>#NULL!</v>
      </c>
      <c r="W120" s="4"/>
      <c r="X120" s="4"/>
      <c r="Y120" s="4"/>
      <c r="Z120" s="4"/>
      <c r="AA120" s="4" t="s">
        <v>59</v>
      </c>
      <c r="AB120" s="5" t="e">
        <v>#NULL!</v>
      </c>
      <c r="AC120" s="4"/>
      <c r="AD120" s="5" t="e">
        <v>#NULL!</v>
      </c>
      <c r="AE120" s="4"/>
      <c r="AF120" s="5" t="e">
        <v>#NULL!</v>
      </c>
      <c r="AG120" s="5" t="e">
        <v>#NULL!</v>
      </c>
      <c r="AH120" s="5" t="e">
        <v>#NULL!</v>
      </c>
      <c r="AI120" s="5" t="e">
        <v>#NULL!</v>
      </c>
      <c r="AJ120" s="4"/>
      <c r="AK120" s="5" t="e">
        <v>#NULL!</v>
      </c>
      <c r="AL120" s="5" t="e">
        <v>#NULL!</v>
      </c>
      <c r="AM120" s="5" t="e">
        <v>#NULL!</v>
      </c>
      <c r="AN120" s="4"/>
      <c r="AO120" s="2">
        <v>0</v>
      </c>
      <c r="AP120" s="3">
        <v>0</v>
      </c>
      <c r="AQ120" s="5" t="e">
        <v>#NULL!</v>
      </c>
      <c r="AR120" s="5" t="e">
        <v>#NULL!</v>
      </c>
      <c r="AS120" s="5" t="e">
        <v>#NULL!</v>
      </c>
      <c r="AT120" s="5" t="e">
        <v>#NULL!</v>
      </c>
      <c r="AU120" s="5" t="e">
        <v>#NULL!</v>
      </c>
      <c r="AV120" s="5" t="e">
        <v>#NULL!</v>
      </c>
      <c r="AW120" s="5" t="e">
        <v>#NULL!</v>
      </c>
      <c r="AX120" s="5" t="e">
        <v>#NULL!</v>
      </c>
      <c r="AY120" s="5" t="e">
        <v>#NULL!</v>
      </c>
      <c r="AZ120" s="5" t="e">
        <v>#NULL!</v>
      </c>
      <c r="BA120" s="4" t="s">
        <v>147</v>
      </c>
      <c r="BB120" s="6">
        <v>72.131</v>
      </c>
      <c r="BC120" s="6">
        <v>53.256</v>
      </c>
      <c r="BD120" s="7">
        <v>51.344999999999999</v>
      </c>
    </row>
    <row r="121" spans="1:56" ht="15.75" thickBot="1" x14ac:dyDescent="0.3">
      <c r="A121" s="75" t="s">
        <v>148</v>
      </c>
      <c r="B121" s="89">
        <v>0</v>
      </c>
      <c r="C121" s="82">
        <v>0</v>
      </c>
      <c r="D121" s="56">
        <v>0</v>
      </c>
      <c r="E121" s="56">
        <v>27</v>
      </c>
      <c r="F121" s="56">
        <v>0</v>
      </c>
      <c r="G121" s="56">
        <v>64</v>
      </c>
      <c r="H121" s="57">
        <v>1.7</v>
      </c>
      <c r="I121" s="56">
        <v>0</v>
      </c>
      <c r="J121" s="56">
        <v>1</v>
      </c>
      <c r="K121" s="56">
        <v>0</v>
      </c>
      <c r="L121" s="56">
        <v>0</v>
      </c>
      <c r="M121" s="58" t="e">
        <v>#NULL!</v>
      </c>
      <c r="N121" s="58" t="e">
        <v>#NULL!</v>
      </c>
      <c r="O121" s="59" t="s">
        <v>56</v>
      </c>
      <c r="P121" s="56">
        <v>2</v>
      </c>
      <c r="Q121" s="56">
        <v>1</v>
      </c>
      <c r="R121" s="59" t="s">
        <v>57</v>
      </c>
      <c r="S121" s="59" t="s">
        <v>57</v>
      </c>
      <c r="T121" s="60">
        <v>22.145328719723185</v>
      </c>
      <c r="U121" s="58" t="e">
        <v>#NULL!</v>
      </c>
      <c r="V121" s="58" t="e">
        <v>#NULL!</v>
      </c>
      <c r="W121" s="10"/>
      <c r="X121" s="10"/>
      <c r="Y121" s="10"/>
      <c r="Z121" s="10"/>
      <c r="AA121" s="10" t="s">
        <v>59</v>
      </c>
      <c r="AB121" s="11" t="e">
        <v>#NULL!</v>
      </c>
      <c r="AC121" s="10"/>
      <c r="AD121" s="11" t="e">
        <v>#NULL!</v>
      </c>
      <c r="AE121" s="10"/>
      <c r="AF121" s="11" t="e">
        <v>#NULL!</v>
      </c>
      <c r="AG121" s="11" t="e">
        <v>#NULL!</v>
      </c>
      <c r="AH121" s="11" t="e">
        <v>#NULL!</v>
      </c>
      <c r="AI121" s="11" t="e">
        <v>#NULL!</v>
      </c>
      <c r="AJ121" s="10"/>
      <c r="AK121" s="8">
        <v>0</v>
      </c>
      <c r="AL121" s="8">
        <v>0</v>
      </c>
      <c r="AM121" s="8">
        <v>0</v>
      </c>
      <c r="AN121" s="10"/>
      <c r="AO121" s="8">
        <v>1</v>
      </c>
      <c r="AP121" s="9">
        <v>0.69314718055994529</v>
      </c>
      <c r="AQ121" s="11" t="e">
        <v>#NULL!</v>
      </c>
      <c r="AR121" s="11" t="e">
        <v>#NULL!</v>
      </c>
      <c r="AS121" s="11" t="e">
        <v>#NULL!</v>
      </c>
      <c r="AT121" s="11" t="e">
        <v>#NULL!</v>
      </c>
      <c r="AU121" s="11" t="e">
        <v>#NULL!</v>
      </c>
      <c r="AV121" s="11" t="e">
        <v>#NULL!</v>
      </c>
      <c r="AW121" s="11" t="e">
        <v>#NULL!</v>
      </c>
      <c r="AX121" s="11" t="e">
        <v>#NULL!</v>
      </c>
      <c r="AY121" s="11" t="e">
        <v>#NULL!</v>
      </c>
      <c r="AZ121" s="11" t="e">
        <v>#NULL!</v>
      </c>
      <c r="BA121" s="10" t="s">
        <v>148</v>
      </c>
      <c r="BB121" s="12">
        <v>62.552</v>
      </c>
      <c r="BC121" s="12">
        <v>52.226999999999997</v>
      </c>
      <c r="BD121" s="13">
        <v>32.366999999999997</v>
      </c>
    </row>
  </sheetData>
  <sortState ref="A2:BD121">
    <sortCondition ref="A2:A121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A8D8-19D0-4F3F-A087-13556CB05F5D}">
  <dimension ref="A1:AK155"/>
  <sheetViews>
    <sheetView tabSelected="1" zoomScale="181" zoomScaleNormal="181" workbookViewId="0">
      <selection activeCell="AK1" sqref="AJ1:AK1"/>
    </sheetView>
  </sheetViews>
  <sheetFormatPr baseColWidth="10" defaultColWidth="8.85546875" defaultRowHeight="15" x14ac:dyDescent="0.25"/>
  <cols>
    <col min="1" max="1" width="7.5703125" style="198" customWidth="1"/>
    <col min="2" max="2" width="7.7109375" style="40" bestFit="1" customWidth="1"/>
    <col min="3" max="3" width="12.7109375" style="40" bestFit="1" customWidth="1"/>
    <col min="4" max="4" width="9.7109375" style="40" bestFit="1" customWidth="1"/>
    <col min="5" max="5" width="14.85546875" style="40" bestFit="1" customWidth="1"/>
    <col min="6" max="6" width="11.85546875" style="40" bestFit="1" customWidth="1"/>
    <col min="7" max="7" width="8.5703125" style="40" customWidth="1"/>
    <col min="8" max="8" width="9.85546875" style="40" bestFit="1" customWidth="1"/>
    <col min="9" max="9" width="10.28515625" style="40" bestFit="1" customWidth="1"/>
    <col min="10" max="10" width="11.28515625" style="40" bestFit="1" customWidth="1"/>
    <col min="11" max="11" width="10.42578125" style="40" customWidth="1"/>
    <col min="12" max="14" width="13.5703125" style="40" bestFit="1" customWidth="1"/>
    <col min="15" max="15" width="14.85546875" style="40" bestFit="1" customWidth="1"/>
    <col min="16" max="17" width="14.7109375" style="40" bestFit="1" customWidth="1"/>
    <col min="18" max="18" width="12.7109375" style="40" bestFit="1" customWidth="1"/>
    <col min="19" max="19" width="12.85546875" style="40" bestFit="1" customWidth="1"/>
    <col min="20" max="22" width="11.42578125" style="40" bestFit="1" customWidth="1"/>
    <col min="23" max="23" width="12.7109375" style="40" bestFit="1" customWidth="1"/>
    <col min="24" max="25" width="12.5703125" style="40" bestFit="1" customWidth="1"/>
    <col min="26" max="26" width="10.5703125" style="40" bestFit="1" customWidth="1"/>
    <col min="27" max="27" width="10.7109375" style="40" bestFit="1" customWidth="1"/>
    <col min="28" max="28" width="24" style="40" bestFit="1" customWidth="1"/>
    <col min="29" max="29" width="23.85546875" style="40" bestFit="1" customWidth="1"/>
    <col min="30" max="31" width="21.85546875" style="40" bestFit="1" customWidth="1"/>
    <col min="32" max="32" width="13.7109375" style="40" customWidth="1"/>
    <col min="33" max="33" width="10.140625" style="40" bestFit="1" customWidth="1"/>
    <col min="34" max="35" width="13.42578125" style="40" bestFit="1" customWidth="1"/>
    <col min="36" max="37" width="15.42578125" style="40" bestFit="1" customWidth="1"/>
    <col min="38" max="16384" width="8.85546875" style="1"/>
  </cols>
  <sheetData>
    <row r="1" spans="1:37" ht="15.75" thickBot="1" x14ac:dyDescent="0.3">
      <c r="A1" s="181" t="s">
        <v>0</v>
      </c>
      <c r="B1" s="72" t="s">
        <v>1</v>
      </c>
      <c r="C1" s="170" t="s">
        <v>394</v>
      </c>
      <c r="D1" s="149" t="s">
        <v>395</v>
      </c>
      <c r="E1" s="150" t="s">
        <v>396</v>
      </c>
      <c r="F1" s="150" t="s">
        <v>397</v>
      </c>
      <c r="G1" s="150" t="s">
        <v>398</v>
      </c>
      <c r="H1" s="150" t="s">
        <v>391</v>
      </c>
      <c r="I1" s="150" t="s">
        <v>392</v>
      </c>
      <c r="J1" s="150" t="s">
        <v>393</v>
      </c>
      <c r="K1" s="152" t="s">
        <v>420</v>
      </c>
      <c r="L1" s="151" t="s">
        <v>399</v>
      </c>
      <c r="M1" s="151" t="s">
        <v>400</v>
      </c>
      <c r="N1" s="151" t="s">
        <v>401</v>
      </c>
      <c r="O1" s="151" t="s">
        <v>402</v>
      </c>
      <c r="P1" s="151" t="s">
        <v>403</v>
      </c>
      <c r="Q1" s="151" t="s">
        <v>404</v>
      </c>
      <c r="R1" s="151" t="s">
        <v>405</v>
      </c>
      <c r="S1" s="151" t="s">
        <v>406</v>
      </c>
      <c r="T1" s="151" t="s">
        <v>407</v>
      </c>
      <c r="U1" s="151" t="s">
        <v>408</v>
      </c>
      <c r="V1" s="151" t="s">
        <v>409</v>
      </c>
      <c r="W1" s="151" t="s">
        <v>410</v>
      </c>
      <c r="X1" s="151" t="s">
        <v>411</v>
      </c>
      <c r="Y1" s="151" t="s">
        <v>412</v>
      </c>
      <c r="Z1" s="151" t="s">
        <v>413</v>
      </c>
      <c r="AA1" s="151" t="s">
        <v>414</v>
      </c>
      <c r="AB1" s="151" t="s">
        <v>415</v>
      </c>
      <c r="AC1" s="151" t="s">
        <v>416</v>
      </c>
      <c r="AD1" s="151" t="s">
        <v>417</v>
      </c>
      <c r="AE1" s="151" t="s">
        <v>418</v>
      </c>
      <c r="AF1" s="151" t="s">
        <v>419</v>
      </c>
      <c r="AG1" s="153" t="s">
        <v>421</v>
      </c>
      <c r="AH1" s="153" t="s">
        <v>422</v>
      </c>
      <c r="AI1" s="153" t="s">
        <v>423</v>
      </c>
      <c r="AJ1" s="153" t="s">
        <v>424</v>
      </c>
      <c r="AK1" s="153" t="s">
        <v>425</v>
      </c>
    </row>
    <row r="2" spans="1:37" x14ac:dyDescent="0.25">
      <c r="A2" s="193" t="s">
        <v>137</v>
      </c>
      <c r="B2" s="87">
        <v>0</v>
      </c>
      <c r="C2" s="175">
        <v>1046.8008729999999</v>
      </c>
      <c r="D2" s="136">
        <v>68.153283000000002</v>
      </c>
      <c r="E2" s="136">
        <v>3.1481180000000002</v>
      </c>
      <c r="F2" s="136">
        <v>0.64919700000000002</v>
      </c>
      <c r="G2" s="136">
        <f>60/E2</f>
        <v>19.059006047422617</v>
      </c>
      <c r="H2" s="136">
        <v>4.9321533101000004</v>
      </c>
      <c r="I2" s="136">
        <v>1.8428641115</v>
      </c>
      <c r="J2" s="136">
        <v>2.6763521409000002</v>
      </c>
      <c r="K2" s="136">
        <v>63.98</v>
      </c>
      <c r="L2" s="136">
        <v>0.36887999999999999</v>
      </c>
      <c r="M2" s="136">
        <v>0</v>
      </c>
      <c r="N2" s="136">
        <v>0.27690999999999999</v>
      </c>
      <c r="O2" s="136">
        <v>0.1004</v>
      </c>
      <c r="P2" s="136">
        <v>0.1004</v>
      </c>
      <c r="Q2" s="136">
        <v>0</v>
      </c>
      <c r="R2" s="136">
        <v>0</v>
      </c>
      <c r="S2" s="136">
        <v>0</v>
      </c>
      <c r="T2" s="136">
        <v>0.21318000000000001</v>
      </c>
      <c r="U2" s="136">
        <v>0</v>
      </c>
      <c r="V2" s="136">
        <v>0.13763</v>
      </c>
      <c r="W2" s="136">
        <v>0.16583000000000001</v>
      </c>
      <c r="X2" s="136">
        <v>0.32092999999999999</v>
      </c>
      <c r="Y2" s="136">
        <v>7.9000000000000008E-3</v>
      </c>
      <c r="Z2" s="136">
        <v>1.1299999999999999E-3</v>
      </c>
      <c r="AA2" s="136">
        <v>0</v>
      </c>
      <c r="AB2" s="136">
        <v>0.53566000000000003</v>
      </c>
      <c r="AC2" s="136">
        <v>0.65827000000000002</v>
      </c>
      <c r="AD2" s="136">
        <v>0.63766</v>
      </c>
      <c r="AE2" s="136">
        <v>0.57506000000000002</v>
      </c>
      <c r="AF2" s="136">
        <v>-0.27071000000000001</v>
      </c>
      <c r="AG2" s="136">
        <v>-1.8363640000000001</v>
      </c>
      <c r="AH2" s="136">
        <v>0.732491</v>
      </c>
      <c r="AI2" s="136">
        <v>0.75799799999999995</v>
      </c>
      <c r="AJ2" s="136">
        <v>4.2359000000000001E-2</v>
      </c>
      <c r="AK2" s="136">
        <v>0.40422000000000002</v>
      </c>
    </row>
    <row r="3" spans="1:37" x14ac:dyDescent="0.25">
      <c r="A3" s="195" t="s">
        <v>138</v>
      </c>
      <c r="B3" s="88">
        <v>0</v>
      </c>
      <c r="C3" s="174">
        <v>945.73866499999997</v>
      </c>
      <c r="D3" s="134">
        <v>58.831916</v>
      </c>
      <c r="E3" s="134">
        <v>6.1764289999999997</v>
      </c>
      <c r="F3" s="134">
        <v>1.901327</v>
      </c>
      <c r="G3" s="134">
        <f>60/E3</f>
        <v>9.7143511242499514</v>
      </c>
      <c r="H3" s="134">
        <v>8.9519346404999993</v>
      </c>
      <c r="I3" s="134">
        <v>3.1930196078000002</v>
      </c>
      <c r="J3" s="134">
        <v>2.8035952608999999</v>
      </c>
      <c r="K3" s="134">
        <v>45.98</v>
      </c>
      <c r="L3" s="134">
        <v>0.39872000000000002</v>
      </c>
      <c r="M3" s="134">
        <v>0</v>
      </c>
      <c r="N3" s="134">
        <v>0.39121</v>
      </c>
      <c r="O3" s="134">
        <v>5.568E-2</v>
      </c>
      <c r="P3" s="134">
        <v>5.568E-2</v>
      </c>
      <c r="Q3" s="134">
        <v>0</v>
      </c>
      <c r="R3" s="134">
        <v>0</v>
      </c>
      <c r="S3" s="134">
        <v>0</v>
      </c>
      <c r="T3" s="134">
        <v>0.26904</v>
      </c>
      <c r="U3" s="134">
        <v>0</v>
      </c>
      <c r="V3" s="134">
        <v>0.30397999999999997</v>
      </c>
      <c r="W3" s="134">
        <v>0.10617</v>
      </c>
      <c r="X3" s="134">
        <v>0.21004999999999999</v>
      </c>
      <c r="Y3" s="134">
        <v>9.75E-3</v>
      </c>
      <c r="Z3" s="134">
        <v>5.6999999999999998E-4</v>
      </c>
      <c r="AA3" s="134">
        <v>1.72E-3</v>
      </c>
      <c r="AB3" s="134">
        <v>0.52378000000000002</v>
      </c>
      <c r="AC3" s="134">
        <v>0.64522999999999997</v>
      </c>
      <c r="AD3" s="134">
        <v>0.56474000000000002</v>
      </c>
      <c r="AE3" s="134">
        <v>0.51568999999999998</v>
      </c>
      <c r="AF3" s="134">
        <v>-0.32166</v>
      </c>
      <c r="AG3" s="134">
        <v>-1.9818180000000001</v>
      </c>
      <c r="AH3" s="134">
        <v>0.60430700000000004</v>
      </c>
      <c r="AI3" s="134">
        <v>0.66039499999999995</v>
      </c>
      <c r="AJ3" s="134">
        <v>1.9434E-2</v>
      </c>
      <c r="AK3" s="134">
        <v>0.35048299999999999</v>
      </c>
    </row>
    <row r="4" spans="1:37" x14ac:dyDescent="0.25">
      <c r="A4" s="195" t="s">
        <v>139</v>
      </c>
      <c r="B4" s="88">
        <v>0</v>
      </c>
      <c r="C4" s="174">
        <v>886.140398</v>
      </c>
      <c r="D4" s="134">
        <v>39.769447</v>
      </c>
      <c r="E4" s="134">
        <v>3.6079089999999998</v>
      </c>
      <c r="F4" s="134">
        <v>0.53255699999999995</v>
      </c>
      <c r="G4" s="134">
        <f>60/E4</f>
        <v>16.630131192333288</v>
      </c>
      <c r="H4" s="134">
        <v>1.9229678715</v>
      </c>
      <c r="I4" s="134">
        <v>1.6360642569999999</v>
      </c>
      <c r="J4" s="134">
        <v>1.1753620698</v>
      </c>
      <c r="K4" s="134">
        <v>48.42</v>
      </c>
      <c r="L4" s="134">
        <v>0.41774</v>
      </c>
      <c r="M4" s="134">
        <v>2.2599999999999999E-3</v>
      </c>
      <c r="N4" s="134">
        <v>0.26629000000000003</v>
      </c>
      <c r="O4" s="134">
        <v>9.665E-2</v>
      </c>
      <c r="P4" s="134">
        <v>9.665E-2</v>
      </c>
      <c r="Q4" s="134">
        <v>0</v>
      </c>
      <c r="R4" s="134">
        <v>0</v>
      </c>
      <c r="S4" s="134">
        <v>0</v>
      </c>
      <c r="T4" s="134">
        <v>0.21143999999999999</v>
      </c>
      <c r="U4" s="134">
        <v>0</v>
      </c>
      <c r="V4" s="134">
        <v>0.22217999999999999</v>
      </c>
      <c r="W4" s="134">
        <v>0.15487999999999999</v>
      </c>
      <c r="X4" s="134">
        <v>0.28036</v>
      </c>
      <c r="Y4" s="134">
        <v>4.5199999999999997E-3</v>
      </c>
      <c r="Z4" s="134">
        <v>3.3899999999999998E-3</v>
      </c>
      <c r="AA4" s="134">
        <v>2.8300000000000001E-3</v>
      </c>
      <c r="AB4" s="134">
        <v>0.54117999999999999</v>
      </c>
      <c r="AC4" s="134">
        <v>0.70069999999999999</v>
      </c>
      <c r="AD4" s="134">
        <v>0.60470000000000002</v>
      </c>
      <c r="AE4" s="134">
        <v>0.55327000000000004</v>
      </c>
      <c r="AF4" s="134">
        <v>-0.28756999999999999</v>
      </c>
      <c r="AG4" s="134">
        <v>-1.7090909999999999</v>
      </c>
      <c r="AH4" s="134">
        <v>0.66007499999999997</v>
      </c>
      <c r="AI4" s="134">
        <v>0.70628599999999997</v>
      </c>
      <c r="AJ4" s="134">
        <v>5.2313999999999999E-2</v>
      </c>
      <c r="AK4" s="134">
        <v>0.31955800000000001</v>
      </c>
    </row>
    <row r="5" spans="1:37" x14ac:dyDescent="0.25">
      <c r="A5" s="195" t="s">
        <v>149</v>
      </c>
      <c r="B5" s="88">
        <v>0</v>
      </c>
      <c r="C5" s="174">
        <v>832.52908100000002</v>
      </c>
      <c r="D5" s="134">
        <v>25.265180999999998</v>
      </c>
      <c r="E5" s="134">
        <v>3.7700100000000001</v>
      </c>
      <c r="F5" s="134">
        <v>0.58816999999999997</v>
      </c>
      <c r="G5" s="134">
        <f>60/E5</f>
        <v>15.915077148336476</v>
      </c>
      <c r="H5" s="134">
        <v>6.0063164557000004</v>
      </c>
      <c r="I5" s="134">
        <v>2.2584388186000002</v>
      </c>
      <c r="J5" s="134">
        <v>2.6594992994000002</v>
      </c>
      <c r="K5" s="134">
        <v>76.38</v>
      </c>
      <c r="L5" s="134">
        <v>0.40316000000000002</v>
      </c>
      <c r="M5" s="134">
        <v>3.9500000000000004E-3</v>
      </c>
      <c r="N5" s="134">
        <v>0.31512000000000001</v>
      </c>
      <c r="O5" s="134">
        <v>8.9760000000000006E-2</v>
      </c>
      <c r="P5" s="134">
        <v>8.9760000000000006E-2</v>
      </c>
      <c r="Q5" s="134">
        <v>0</v>
      </c>
      <c r="R5" s="134">
        <v>0</v>
      </c>
      <c r="S5" s="134">
        <v>0</v>
      </c>
      <c r="T5" s="134">
        <v>0.22363</v>
      </c>
      <c r="U5" s="134">
        <v>0</v>
      </c>
      <c r="V5" s="134">
        <v>0.24961</v>
      </c>
      <c r="W5" s="134">
        <v>0.14848</v>
      </c>
      <c r="X5" s="134">
        <v>0.24278</v>
      </c>
      <c r="Y5" s="134">
        <v>2.7089999999999999E-2</v>
      </c>
      <c r="Z5" s="134">
        <v>7.3400000000000002E-3</v>
      </c>
      <c r="AA5" s="134">
        <v>2.82E-3</v>
      </c>
      <c r="AB5" s="134">
        <v>0.59477999999999998</v>
      </c>
      <c r="AC5" s="134">
        <v>0.72897999999999996</v>
      </c>
      <c r="AD5" s="134">
        <v>0.63160000000000005</v>
      </c>
      <c r="AE5" s="134">
        <v>0.58099000000000001</v>
      </c>
      <c r="AF5" s="134">
        <v>-0.28802</v>
      </c>
      <c r="AG5" s="134">
        <v>-0.96363600000000005</v>
      </c>
      <c r="AH5" s="134">
        <v>0.68242199999999997</v>
      </c>
      <c r="AI5" s="134">
        <v>0.54239300000000001</v>
      </c>
      <c r="AJ5" s="134">
        <v>6.5024999999999999E-2</v>
      </c>
      <c r="AK5" s="134">
        <v>0.16934099999999999</v>
      </c>
    </row>
    <row r="6" spans="1:37" x14ac:dyDescent="0.25">
      <c r="A6" s="195" t="s">
        <v>150</v>
      </c>
      <c r="B6" s="88">
        <v>0</v>
      </c>
      <c r="C6" s="174">
        <v>924.21424400000001</v>
      </c>
      <c r="D6" s="134">
        <v>30.838391000000001</v>
      </c>
      <c r="E6" s="134">
        <v>3.1864729999999999</v>
      </c>
      <c r="F6" s="134">
        <v>0.34717199999999998</v>
      </c>
      <c r="G6" s="134">
        <f>60/E6</f>
        <v>18.829596233829694</v>
      </c>
      <c r="H6" s="134">
        <v>1.9197695035</v>
      </c>
      <c r="I6" s="134">
        <v>1.2357411348</v>
      </c>
      <c r="J6" s="134">
        <v>1.553536942</v>
      </c>
      <c r="K6" s="134">
        <v>35.43</v>
      </c>
      <c r="L6" s="134">
        <v>0.36335000000000001</v>
      </c>
      <c r="M6" s="134">
        <v>3.3700000000000002E-3</v>
      </c>
      <c r="N6" s="134">
        <v>0.28460999999999997</v>
      </c>
      <c r="O6" s="134">
        <v>0.10403999999999999</v>
      </c>
      <c r="P6" s="134">
        <v>0.10403999999999999</v>
      </c>
      <c r="Q6" s="134">
        <v>0</v>
      </c>
      <c r="R6" s="134">
        <v>0</v>
      </c>
      <c r="S6" s="134">
        <v>0</v>
      </c>
      <c r="T6" s="134">
        <v>0.18506</v>
      </c>
      <c r="U6" s="134">
        <v>0</v>
      </c>
      <c r="V6" s="134">
        <v>0.20587</v>
      </c>
      <c r="W6" s="134">
        <v>0.15748000000000001</v>
      </c>
      <c r="X6" s="134">
        <v>0.29805999999999999</v>
      </c>
      <c r="Y6" s="134">
        <v>7.3200000000000001E-3</v>
      </c>
      <c r="Z6" s="134">
        <v>3.9399999999999999E-3</v>
      </c>
      <c r="AA6" s="134">
        <v>1.6900000000000001E-3</v>
      </c>
      <c r="AB6" s="134">
        <v>0.54988000000000004</v>
      </c>
      <c r="AC6" s="134">
        <v>0.71272999999999997</v>
      </c>
      <c r="AD6" s="134">
        <v>0.63038000000000005</v>
      </c>
      <c r="AE6" s="134">
        <v>0.57162000000000002</v>
      </c>
      <c r="AF6" s="134">
        <v>-0.27515000000000001</v>
      </c>
      <c r="AG6" s="134">
        <v>-1.690909</v>
      </c>
      <c r="AH6" s="134">
        <v>0.76378000000000001</v>
      </c>
      <c r="AI6" s="134">
        <v>0.81167400000000001</v>
      </c>
      <c r="AJ6" s="134">
        <v>7.9094999999999999E-2</v>
      </c>
      <c r="AK6" s="134">
        <v>0.418771</v>
      </c>
    </row>
    <row r="7" spans="1:37" x14ac:dyDescent="0.25">
      <c r="A7" s="195" t="s">
        <v>151</v>
      </c>
      <c r="B7" s="88">
        <v>0</v>
      </c>
      <c r="C7" s="174">
        <v>937.65819899999997</v>
      </c>
      <c r="D7" s="134">
        <v>30.493641</v>
      </c>
      <c r="E7" s="134">
        <v>4.1183139999999998</v>
      </c>
      <c r="F7" s="134">
        <v>0.54230599999999995</v>
      </c>
      <c r="G7" s="134">
        <f>60/E7</f>
        <v>14.569068798542316</v>
      </c>
      <c r="H7" s="134">
        <v>1.6917123288</v>
      </c>
      <c r="I7" s="134">
        <v>2.3665068492999999</v>
      </c>
      <c r="J7" s="134">
        <v>0.71485629939999995</v>
      </c>
      <c r="K7" s="134">
        <v>30.33</v>
      </c>
      <c r="L7" s="134">
        <v>0.40065000000000001</v>
      </c>
      <c r="M7" s="134">
        <v>0</v>
      </c>
      <c r="N7" s="134">
        <v>0.33817999999999998</v>
      </c>
      <c r="O7" s="134">
        <v>7.7670000000000003E-2</v>
      </c>
      <c r="P7" s="134">
        <v>7.7670000000000003E-2</v>
      </c>
      <c r="Q7" s="134">
        <v>0</v>
      </c>
      <c r="R7" s="134">
        <v>0</v>
      </c>
      <c r="S7" s="134">
        <v>0</v>
      </c>
      <c r="T7" s="134">
        <v>0.24926000000000001</v>
      </c>
      <c r="U7" s="134">
        <v>0</v>
      </c>
      <c r="V7" s="134">
        <v>0.26557999999999998</v>
      </c>
      <c r="W7" s="134">
        <v>0.13000999999999999</v>
      </c>
      <c r="X7" s="134">
        <v>0.23863999999999999</v>
      </c>
      <c r="Y7" s="134">
        <v>5.6299999999999996E-3</v>
      </c>
      <c r="Z7" s="134">
        <v>4.4999999999999997E-3</v>
      </c>
      <c r="AA7" s="134">
        <v>5.5999999999999995E-4</v>
      </c>
      <c r="AB7" s="134">
        <v>0.55467</v>
      </c>
      <c r="AC7" s="134">
        <v>0.68018999999999996</v>
      </c>
      <c r="AD7" s="134">
        <v>0.60465000000000002</v>
      </c>
      <c r="AE7" s="134">
        <v>0.55825999999999998</v>
      </c>
      <c r="AF7" s="134">
        <v>-0.30096000000000001</v>
      </c>
      <c r="AG7" s="134">
        <v>-1.927273</v>
      </c>
      <c r="AH7" s="134">
        <v>0.622645</v>
      </c>
      <c r="AI7" s="134">
        <v>0.64425299999999996</v>
      </c>
      <c r="AJ7" s="134">
        <v>3.6024E-2</v>
      </c>
      <c r="AK7" s="134">
        <v>0.347632</v>
      </c>
    </row>
    <row r="8" spans="1:37" x14ac:dyDescent="0.25">
      <c r="A8" s="195" t="s">
        <v>152</v>
      </c>
      <c r="B8" s="88">
        <v>0</v>
      </c>
      <c r="C8" s="174">
        <v>796.24491499999999</v>
      </c>
      <c r="D8" s="134">
        <v>29.135432000000002</v>
      </c>
      <c r="E8" s="134">
        <v>3.6247549999999999</v>
      </c>
      <c r="F8" s="134">
        <v>0.69208099999999995</v>
      </c>
      <c r="G8" s="134">
        <f>60/E8</f>
        <v>16.552842881794771</v>
      </c>
      <c r="H8" s="134">
        <v>1.8066102362000001</v>
      </c>
      <c r="I8" s="134">
        <v>1.7234606298999999</v>
      </c>
      <c r="J8" s="134">
        <v>1.0482457242000001</v>
      </c>
      <c r="K8" s="134">
        <v>20.69</v>
      </c>
      <c r="L8" s="134">
        <v>0.35960999999999999</v>
      </c>
      <c r="M8" s="134">
        <v>0</v>
      </c>
      <c r="N8" s="134">
        <v>0.31375999999999998</v>
      </c>
      <c r="O8" s="134">
        <v>9.8269999999999996E-2</v>
      </c>
      <c r="P8" s="134">
        <v>9.4920000000000004E-2</v>
      </c>
      <c r="Q8" s="134">
        <v>1.67E-3</v>
      </c>
      <c r="R8" s="134">
        <v>0</v>
      </c>
      <c r="S8" s="134">
        <v>0</v>
      </c>
      <c r="T8" s="134">
        <v>0.23225999999999999</v>
      </c>
      <c r="U8" s="134">
        <v>0</v>
      </c>
      <c r="V8" s="134">
        <v>0.19375999999999999</v>
      </c>
      <c r="W8" s="134">
        <v>0.14405999999999999</v>
      </c>
      <c r="X8" s="134">
        <v>0.27135999999999999</v>
      </c>
      <c r="Y8" s="134">
        <v>1.619E-2</v>
      </c>
      <c r="Z8" s="134">
        <v>7.26E-3</v>
      </c>
      <c r="AA8" s="134">
        <v>3.3500000000000001E-3</v>
      </c>
      <c r="AB8" s="134">
        <v>0.56623999999999997</v>
      </c>
      <c r="AC8" s="134">
        <v>0.71826000000000001</v>
      </c>
      <c r="AD8" s="134">
        <v>0.64163999999999999</v>
      </c>
      <c r="AE8" s="134">
        <v>0.58843000000000001</v>
      </c>
      <c r="AF8" s="134">
        <v>-0.25395000000000001</v>
      </c>
      <c r="AG8" s="134">
        <v>-0.56363600000000003</v>
      </c>
      <c r="AH8" s="134">
        <v>0.56649700000000003</v>
      </c>
      <c r="AI8" s="134">
        <v>0.63573299999999999</v>
      </c>
      <c r="AJ8" s="134">
        <v>0.10503999999999999</v>
      </c>
      <c r="AK8" s="134">
        <v>0.15784500000000001</v>
      </c>
    </row>
    <row r="9" spans="1:37" x14ac:dyDescent="0.25">
      <c r="A9" s="195" t="s">
        <v>153</v>
      </c>
      <c r="B9" s="88">
        <v>0</v>
      </c>
      <c r="C9" s="174">
        <v>923.74324999999999</v>
      </c>
      <c r="D9" s="134">
        <v>25.640961000000001</v>
      </c>
      <c r="E9" s="134">
        <v>3.2307899999999998</v>
      </c>
      <c r="F9" s="134">
        <v>0.30583700000000003</v>
      </c>
      <c r="G9" s="134">
        <f>60/E9</f>
        <v>18.57130918444096</v>
      </c>
      <c r="H9" s="134">
        <v>1.5769675089999999</v>
      </c>
      <c r="I9" s="134">
        <v>1.6346750903</v>
      </c>
      <c r="J9" s="134">
        <v>0.96469782800000003</v>
      </c>
      <c r="K9" s="134">
        <v>18.809999999999999</v>
      </c>
      <c r="L9" s="134">
        <v>0.39660000000000001</v>
      </c>
      <c r="M9" s="134">
        <v>0</v>
      </c>
      <c r="N9" s="134">
        <v>0.31268000000000001</v>
      </c>
      <c r="O9" s="134">
        <v>9.6339999999999995E-2</v>
      </c>
      <c r="P9" s="134">
        <v>9.5769999999999994E-2</v>
      </c>
      <c r="Q9" s="134">
        <v>0</v>
      </c>
      <c r="R9" s="134">
        <v>0</v>
      </c>
      <c r="S9" s="134">
        <v>0</v>
      </c>
      <c r="T9" s="134">
        <v>0.23830999999999999</v>
      </c>
      <c r="U9" s="134">
        <v>1.1299999999999999E-3</v>
      </c>
      <c r="V9" s="134">
        <v>0.22252</v>
      </c>
      <c r="W9" s="134">
        <v>0.15267</v>
      </c>
      <c r="X9" s="134">
        <v>0.24676999999999999</v>
      </c>
      <c r="Y9" s="134">
        <v>2.929E-2</v>
      </c>
      <c r="Z9" s="134">
        <v>5.0699999999999999E-3</v>
      </c>
      <c r="AA9" s="134">
        <v>5.6299999999999996E-3</v>
      </c>
      <c r="AB9" s="134">
        <v>0.60097</v>
      </c>
      <c r="AC9" s="134">
        <v>0.73795999999999995</v>
      </c>
      <c r="AD9" s="134">
        <v>0.64078999999999997</v>
      </c>
      <c r="AE9" s="134">
        <v>0.59296000000000004</v>
      </c>
      <c r="AF9" s="134">
        <v>-0.53115000000000001</v>
      </c>
      <c r="AG9" s="134">
        <v>-1</v>
      </c>
      <c r="AH9" s="134">
        <v>0.61331100000000005</v>
      </c>
      <c r="AI9" s="134">
        <v>0.61179499999999998</v>
      </c>
      <c r="AJ9" s="134">
        <v>7.7981999999999996E-2</v>
      </c>
      <c r="AK9" s="134">
        <v>0.180483</v>
      </c>
    </row>
    <row r="10" spans="1:37" x14ac:dyDescent="0.25">
      <c r="A10" s="195" t="s">
        <v>154</v>
      </c>
      <c r="B10" s="88">
        <v>0</v>
      </c>
      <c r="C10" s="174">
        <v>961.21975499999996</v>
      </c>
      <c r="D10" s="134">
        <v>50.349404999999997</v>
      </c>
      <c r="E10" s="134">
        <v>8.1955039999999997</v>
      </c>
      <c r="F10" s="134">
        <v>2.3390490000000002</v>
      </c>
      <c r="G10" s="134">
        <f>60/E10</f>
        <v>7.3210872693125406</v>
      </c>
      <c r="H10" s="134">
        <v>20.083924528299999</v>
      </c>
      <c r="I10" s="134">
        <v>15.318867924499999</v>
      </c>
      <c r="J10" s="134">
        <v>1.3110580120999999</v>
      </c>
      <c r="K10" s="134">
        <v>79.400000000000006</v>
      </c>
      <c r="L10" s="134">
        <v>0.42213000000000001</v>
      </c>
      <c r="M10" s="134">
        <v>7.4900000000000001E-3</v>
      </c>
      <c r="N10" s="134">
        <v>0.41632000000000002</v>
      </c>
      <c r="O10" s="134">
        <v>4.2130000000000001E-2</v>
      </c>
      <c r="P10" s="134">
        <v>4.2130000000000001E-2</v>
      </c>
      <c r="Q10" s="134">
        <v>0</v>
      </c>
      <c r="R10" s="134">
        <v>0</v>
      </c>
      <c r="S10" s="134">
        <v>0</v>
      </c>
      <c r="T10" s="134">
        <v>0.39206999999999997</v>
      </c>
      <c r="U10" s="134">
        <v>0</v>
      </c>
      <c r="V10" s="134">
        <v>0.31194</v>
      </c>
      <c r="W10" s="134">
        <v>6.9250000000000006E-2</v>
      </c>
      <c r="X10" s="134">
        <v>0.14885000000000001</v>
      </c>
      <c r="Y10" s="134">
        <v>5.7800000000000004E-3</v>
      </c>
      <c r="Z10" s="134">
        <v>1.16E-3</v>
      </c>
      <c r="AA10" s="134">
        <v>1.16E-3</v>
      </c>
      <c r="AB10" s="134">
        <v>0.51456999999999997</v>
      </c>
      <c r="AC10" s="134">
        <v>0.68535999999999997</v>
      </c>
      <c r="AD10" s="134">
        <v>0.51861000000000002</v>
      </c>
      <c r="AE10" s="134">
        <v>0.47397</v>
      </c>
      <c r="AF10" s="134">
        <v>-0.32778000000000002</v>
      </c>
      <c r="AG10" s="134">
        <v>-1.9636359999999999</v>
      </c>
      <c r="AH10" s="134">
        <v>0.44599</v>
      </c>
      <c r="AI10" s="134">
        <v>0.66359699999999999</v>
      </c>
      <c r="AJ10" s="134">
        <v>2.7439999999999999E-2</v>
      </c>
      <c r="AK10" s="134">
        <v>0.32707900000000001</v>
      </c>
    </row>
    <row r="11" spans="1:37" x14ac:dyDescent="0.25">
      <c r="A11" s="195" t="s">
        <v>155</v>
      </c>
      <c r="B11" s="88">
        <v>0</v>
      </c>
      <c r="C11" s="174">
        <v>762.64466300000004</v>
      </c>
      <c r="D11" s="134">
        <v>25.098313999999998</v>
      </c>
      <c r="E11" s="134">
        <v>4.0622199999999999</v>
      </c>
      <c r="F11" s="134">
        <v>0.83489999999999998</v>
      </c>
      <c r="G11" s="134">
        <f>60/E11</f>
        <v>14.770248780223621</v>
      </c>
      <c r="H11" s="134">
        <v>2.1202455357000001</v>
      </c>
      <c r="I11" s="134">
        <v>1.8139732143</v>
      </c>
      <c r="J11" s="134">
        <v>1.1688405975</v>
      </c>
      <c r="K11" s="134">
        <v>21.41</v>
      </c>
      <c r="L11" s="134">
        <v>0.41500999999999999</v>
      </c>
      <c r="M11" s="134">
        <v>3.98E-3</v>
      </c>
      <c r="N11" s="134">
        <v>0.32012000000000002</v>
      </c>
      <c r="O11" s="134">
        <v>8.6389999999999995E-2</v>
      </c>
      <c r="P11" s="134">
        <v>8.4110000000000004E-2</v>
      </c>
      <c r="Q11" s="134">
        <v>0</v>
      </c>
      <c r="R11" s="134">
        <v>0</v>
      </c>
      <c r="S11" s="134">
        <v>0</v>
      </c>
      <c r="T11" s="134">
        <v>0.24454000000000001</v>
      </c>
      <c r="U11" s="134">
        <v>0</v>
      </c>
      <c r="V11" s="134">
        <v>0.22631000000000001</v>
      </c>
      <c r="W11" s="134">
        <v>0.14549000000000001</v>
      </c>
      <c r="X11" s="134">
        <v>0.24496999999999999</v>
      </c>
      <c r="Y11" s="134">
        <v>4.1480000000000003E-2</v>
      </c>
      <c r="Z11" s="134">
        <v>2.2699999999999999E-3</v>
      </c>
      <c r="AA11" s="134">
        <v>4.5500000000000002E-3</v>
      </c>
      <c r="AB11" s="134">
        <v>0.60096000000000005</v>
      </c>
      <c r="AC11" s="134">
        <v>0.73841999999999997</v>
      </c>
      <c r="AD11" s="134">
        <v>0.63305</v>
      </c>
      <c r="AE11" s="134">
        <v>0.58718000000000004</v>
      </c>
      <c r="AF11" s="134">
        <v>-0.28919</v>
      </c>
      <c r="AG11" s="134">
        <v>-1.7272730000000001</v>
      </c>
      <c r="AH11" s="134">
        <v>0.62163199999999996</v>
      </c>
      <c r="AI11" s="134">
        <v>0.60831999999999997</v>
      </c>
      <c r="AJ11" s="134">
        <v>5.3422999999999998E-2</v>
      </c>
      <c r="AK11" s="134">
        <v>0.25421199999999999</v>
      </c>
    </row>
    <row r="12" spans="1:37" x14ac:dyDescent="0.25">
      <c r="A12" s="195" t="s">
        <v>156</v>
      </c>
      <c r="B12" s="88">
        <v>0</v>
      </c>
      <c r="C12" s="174">
        <v>971.30192499999998</v>
      </c>
      <c r="D12" s="134">
        <v>50.374113000000001</v>
      </c>
      <c r="E12" s="134">
        <v>3.1563219999999998</v>
      </c>
      <c r="F12" s="134">
        <v>0.783277</v>
      </c>
      <c r="G12" s="134">
        <f>60/E12</f>
        <v>19.009467348388409</v>
      </c>
      <c r="H12" s="134">
        <v>1.5124315068</v>
      </c>
      <c r="I12" s="134">
        <v>1.5199657534</v>
      </c>
      <c r="J12" s="134">
        <v>0.99504314719999998</v>
      </c>
      <c r="K12" s="134">
        <v>70.64</v>
      </c>
      <c r="L12" s="134">
        <v>0.39706999999999998</v>
      </c>
      <c r="M12" s="134">
        <v>3.96E-3</v>
      </c>
      <c r="N12" s="134">
        <v>0.27378000000000002</v>
      </c>
      <c r="O12" s="134">
        <v>0.10067</v>
      </c>
      <c r="P12" s="134">
        <v>9.7280000000000005E-2</v>
      </c>
      <c r="Q12" s="134">
        <v>1.6999999999999999E-3</v>
      </c>
      <c r="R12" s="134">
        <v>0</v>
      </c>
      <c r="S12" s="134">
        <v>0</v>
      </c>
      <c r="T12" s="134">
        <v>0.19234000000000001</v>
      </c>
      <c r="U12" s="134">
        <v>0</v>
      </c>
      <c r="V12" s="134">
        <v>0.15841</v>
      </c>
      <c r="W12" s="134">
        <v>0.18379999999999999</v>
      </c>
      <c r="X12" s="134">
        <v>0.31557000000000002</v>
      </c>
      <c r="Y12" s="134">
        <v>1.9810000000000001E-2</v>
      </c>
      <c r="Z12" s="134">
        <v>2.8300000000000001E-3</v>
      </c>
      <c r="AA12" s="134">
        <v>1.6999999999999999E-3</v>
      </c>
      <c r="AB12" s="134">
        <v>0.57838999999999996</v>
      </c>
      <c r="AC12" s="134">
        <v>0.73814000000000002</v>
      </c>
      <c r="AD12" s="134">
        <v>0.63973999999999998</v>
      </c>
      <c r="AE12" s="134">
        <v>0.57745999999999997</v>
      </c>
      <c r="AF12" s="134">
        <v>-0.25612000000000001</v>
      </c>
      <c r="AG12" s="134">
        <v>-1.927273</v>
      </c>
      <c r="AH12" s="134">
        <v>0.73241999999999996</v>
      </c>
      <c r="AI12" s="134">
        <v>0.806369</v>
      </c>
      <c r="AJ12" s="134">
        <v>2.6224999999999998E-2</v>
      </c>
      <c r="AK12" s="134">
        <v>0.50735799999999998</v>
      </c>
    </row>
    <row r="13" spans="1:37" x14ac:dyDescent="0.25">
      <c r="A13" s="195" t="s">
        <v>55</v>
      </c>
      <c r="B13" s="88">
        <v>0</v>
      </c>
      <c r="C13" s="174">
        <v>861.96297000000004</v>
      </c>
      <c r="D13" s="134">
        <v>35.075499000000001</v>
      </c>
      <c r="E13" s="134">
        <v>2.4265129999999999</v>
      </c>
      <c r="F13" s="134">
        <v>0.48081800000000002</v>
      </c>
      <c r="G13" s="134">
        <f>60/E13</f>
        <v>24.726840532072156</v>
      </c>
      <c r="H13" s="134">
        <v>1.0429427083</v>
      </c>
      <c r="I13" s="134">
        <v>1.3451432292000001</v>
      </c>
      <c r="J13" s="134">
        <v>0.775339522</v>
      </c>
      <c r="K13" s="134">
        <v>38.49</v>
      </c>
      <c r="L13" s="134">
        <v>0.3826</v>
      </c>
      <c r="M13" s="134">
        <v>0</v>
      </c>
      <c r="N13" s="134">
        <v>0.19106999999999999</v>
      </c>
      <c r="O13" s="134">
        <v>0.13353000000000001</v>
      </c>
      <c r="P13" s="134">
        <v>0.12916</v>
      </c>
      <c r="Q13" s="134">
        <v>4.3800000000000002E-3</v>
      </c>
      <c r="R13" s="134">
        <v>0</v>
      </c>
      <c r="S13" s="134">
        <v>0</v>
      </c>
      <c r="T13" s="134">
        <v>0.11717</v>
      </c>
      <c r="U13" s="134">
        <v>0</v>
      </c>
      <c r="V13" s="134">
        <v>0.10675999999999999</v>
      </c>
      <c r="W13" s="134">
        <v>0.21017</v>
      </c>
      <c r="X13" s="134">
        <v>0.36231999999999998</v>
      </c>
      <c r="Y13" s="134">
        <v>4.2130000000000001E-2</v>
      </c>
      <c r="Z13" s="134">
        <v>2.1900000000000001E-3</v>
      </c>
      <c r="AA13" s="134">
        <v>0</v>
      </c>
      <c r="AB13" s="134">
        <v>0.55779999999999996</v>
      </c>
      <c r="AC13" s="134">
        <v>0.7177</v>
      </c>
      <c r="AD13" s="134">
        <v>0.63915</v>
      </c>
      <c r="AE13" s="134">
        <v>0.55057</v>
      </c>
      <c r="AF13" s="134">
        <v>-0.21187</v>
      </c>
      <c r="AG13" s="134">
        <v>-1.9454549999999999</v>
      </c>
      <c r="AH13" s="134">
        <v>0.64263400000000004</v>
      </c>
      <c r="AI13" s="134">
        <v>0.78273499999999996</v>
      </c>
      <c r="AJ13" s="134">
        <v>3.6409999999999998E-2</v>
      </c>
      <c r="AK13" s="134">
        <v>0.79378400000000005</v>
      </c>
    </row>
    <row r="14" spans="1:37" x14ac:dyDescent="0.25">
      <c r="A14" s="195" t="s">
        <v>61</v>
      </c>
      <c r="B14" s="88">
        <v>0</v>
      </c>
      <c r="C14" s="174">
        <v>1011.16371</v>
      </c>
      <c r="D14" s="134">
        <v>44.935957000000002</v>
      </c>
      <c r="E14" s="134">
        <v>7.5772060000000003</v>
      </c>
      <c r="F14" s="134">
        <v>1.566719</v>
      </c>
      <c r="G14" s="134">
        <f>60/E14</f>
        <v>7.9184860488153541</v>
      </c>
      <c r="H14" s="134">
        <v>3.5767920000000002</v>
      </c>
      <c r="I14" s="134">
        <v>3.6846800000000002</v>
      </c>
      <c r="J14" s="134">
        <v>0.9707198454</v>
      </c>
      <c r="K14" s="134">
        <v>70.709999999999994</v>
      </c>
      <c r="L14" s="134">
        <v>0.42164000000000001</v>
      </c>
      <c r="M14" s="134">
        <v>0</v>
      </c>
      <c r="N14" s="134">
        <v>0.40505000000000002</v>
      </c>
      <c r="O14" s="134">
        <v>4.7329999999999997E-2</v>
      </c>
      <c r="P14" s="134">
        <v>4.7320000000000001E-2</v>
      </c>
      <c r="Q14" s="134">
        <v>0</v>
      </c>
      <c r="R14" s="134">
        <v>0</v>
      </c>
      <c r="S14" s="134">
        <v>0</v>
      </c>
      <c r="T14" s="134">
        <v>0.32699</v>
      </c>
      <c r="U14" s="134">
        <v>0</v>
      </c>
      <c r="V14" s="134">
        <v>0.32973000000000002</v>
      </c>
      <c r="W14" s="134">
        <v>8.5279999999999995E-2</v>
      </c>
      <c r="X14" s="134">
        <v>0.16722999999999999</v>
      </c>
      <c r="Y14" s="134">
        <v>8.8100000000000001E-3</v>
      </c>
      <c r="Z14" s="134">
        <v>1.65E-3</v>
      </c>
      <c r="AA14" s="134">
        <v>1.65E-3</v>
      </c>
      <c r="AB14" s="134">
        <v>0.52163000000000004</v>
      </c>
      <c r="AC14" s="134">
        <v>0.67283000000000004</v>
      </c>
      <c r="AD14" s="134">
        <v>0.53029000000000004</v>
      </c>
      <c r="AE14" s="134">
        <v>0.48315999999999998</v>
      </c>
      <c r="AF14" s="134">
        <v>-0.32695000000000002</v>
      </c>
      <c r="AG14" s="134">
        <v>-1.9090910000000001</v>
      </c>
      <c r="AH14" s="134">
        <v>0.55350600000000005</v>
      </c>
      <c r="AI14" s="134">
        <v>0.62756599999999996</v>
      </c>
      <c r="AJ14" s="134">
        <v>2.6966E-2</v>
      </c>
      <c r="AK14" s="134">
        <v>0.29938399999999998</v>
      </c>
    </row>
    <row r="15" spans="1:37" x14ac:dyDescent="0.25">
      <c r="A15" s="195" t="s">
        <v>64</v>
      </c>
      <c r="B15" s="88">
        <v>0</v>
      </c>
      <c r="C15" s="174">
        <v>1107.7391090000001</v>
      </c>
      <c r="D15" s="134">
        <v>78.652342000000004</v>
      </c>
      <c r="E15" s="134">
        <v>2.8888340000000001</v>
      </c>
      <c r="F15" s="134">
        <v>1.3062279999999999</v>
      </c>
      <c r="G15" s="134">
        <f>60/E15</f>
        <v>20.76962539211322</v>
      </c>
      <c r="H15" s="134">
        <v>1.1902102426000001</v>
      </c>
      <c r="I15" s="134">
        <v>1.2902695418000001</v>
      </c>
      <c r="J15" s="134">
        <v>0.92245085550000006</v>
      </c>
      <c r="K15" s="134">
        <v>53.53</v>
      </c>
      <c r="L15" s="134">
        <v>0.26641999999999999</v>
      </c>
      <c r="M15" s="134">
        <v>1.6299999999999999E-3</v>
      </c>
      <c r="N15" s="134">
        <v>0.27512999999999999</v>
      </c>
      <c r="O15" s="134">
        <v>0.17041000000000001</v>
      </c>
      <c r="P15" s="134">
        <v>0.13557</v>
      </c>
      <c r="Q15" s="134">
        <v>3.048E-2</v>
      </c>
      <c r="R15" s="134">
        <v>0</v>
      </c>
      <c r="S15" s="134">
        <v>0</v>
      </c>
      <c r="T15" s="134">
        <v>0.20485999999999999</v>
      </c>
      <c r="U15" s="134">
        <v>0</v>
      </c>
      <c r="V15" s="134">
        <v>0.17927999999999999</v>
      </c>
      <c r="W15" s="134">
        <v>0.17588000000000001</v>
      </c>
      <c r="X15" s="134">
        <v>0.29948999999999998</v>
      </c>
      <c r="Y15" s="134">
        <v>1.9599999999999999E-2</v>
      </c>
      <c r="Z15" s="134">
        <v>0</v>
      </c>
      <c r="AA15" s="134">
        <v>5.5000000000000003E-4</v>
      </c>
      <c r="AB15" s="134">
        <v>0.61880000000000002</v>
      </c>
      <c r="AC15" s="134">
        <v>0.74912999999999996</v>
      </c>
      <c r="AD15" s="134">
        <v>0.69259999999999999</v>
      </c>
      <c r="AE15" s="134">
        <v>0.63800999999999997</v>
      </c>
      <c r="AF15" s="134">
        <v>-0.10421</v>
      </c>
      <c r="AG15" s="134">
        <v>-0.74545499999999998</v>
      </c>
      <c r="AH15" s="134">
        <v>0.74267000000000005</v>
      </c>
      <c r="AI15" s="134">
        <v>0.638602</v>
      </c>
      <c r="AJ15" s="134">
        <v>0.104659</v>
      </c>
      <c r="AK15" s="134">
        <v>0.19245599999999999</v>
      </c>
    </row>
    <row r="16" spans="1:37" x14ac:dyDescent="0.25">
      <c r="A16" s="195" t="s">
        <v>65</v>
      </c>
      <c r="B16" s="88">
        <v>0</v>
      </c>
      <c r="C16" s="174">
        <v>823.68681100000003</v>
      </c>
      <c r="D16" s="134">
        <v>90.096691000000007</v>
      </c>
      <c r="E16" s="134">
        <v>6.0492249999999999</v>
      </c>
      <c r="F16" s="134">
        <v>2.2364830000000002</v>
      </c>
      <c r="G16" s="134">
        <f>60/E16</f>
        <v>9.9186259396864891</v>
      </c>
      <c r="H16" s="134">
        <v>8.0732606060999998</v>
      </c>
      <c r="I16" s="134">
        <v>2.5980181818000001</v>
      </c>
      <c r="J16" s="134">
        <v>3.1074688631999998</v>
      </c>
      <c r="K16" s="134">
        <v>195.74</v>
      </c>
      <c r="L16" s="134">
        <v>0.39574999999999999</v>
      </c>
      <c r="M16" s="134">
        <v>0</v>
      </c>
      <c r="N16" s="134">
        <v>0.39026</v>
      </c>
      <c r="O16" s="134">
        <v>6.053E-2</v>
      </c>
      <c r="P16" s="134">
        <v>6.0510000000000001E-2</v>
      </c>
      <c r="Q16" s="134">
        <v>2.0000000000000002E-5</v>
      </c>
      <c r="R16" s="134">
        <v>0</v>
      </c>
      <c r="S16" s="134">
        <v>0</v>
      </c>
      <c r="T16" s="134">
        <v>0.3644</v>
      </c>
      <c r="U16" s="134">
        <v>0</v>
      </c>
      <c r="V16" s="134">
        <v>0.22702</v>
      </c>
      <c r="W16" s="134">
        <v>9.5149999999999998E-2</v>
      </c>
      <c r="X16" s="134">
        <v>0.20401</v>
      </c>
      <c r="Y16" s="134">
        <v>1.43E-2</v>
      </c>
      <c r="Z16" s="134">
        <v>1.65E-3</v>
      </c>
      <c r="AA16" s="134">
        <v>5.5000000000000003E-4</v>
      </c>
      <c r="AB16" s="134">
        <v>0.53663000000000005</v>
      </c>
      <c r="AC16" s="134">
        <v>0.67610000000000003</v>
      </c>
      <c r="AD16" s="134">
        <v>0.56942000000000004</v>
      </c>
      <c r="AE16" s="134">
        <v>0.51890000000000003</v>
      </c>
      <c r="AF16" s="134">
        <v>-0.30709999999999998</v>
      </c>
      <c r="AG16" s="134">
        <v>-1.890909</v>
      </c>
      <c r="AH16" s="134">
        <v>0.64597800000000005</v>
      </c>
      <c r="AI16" s="134">
        <v>0.69781700000000002</v>
      </c>
      <c r="AJ16" s="134">
        <v>2.7449000000000001E-2</v>
      </c>
      <c r="AK16" s="134">
        <v>0.43745299999999998</v>
      </c>
    </row>
    <row r="17" spans="1:37" x14ac:dyDescent="0.25">
      <c r="A17" s="195" t="s">
        <v>67</v>
      </c>
      <c r="B17" s="88">
        <v>0</v>
      </c>
      <c r="C17" s="174">
        <v>949.736403</v>
      </c>
      <c r="D17" s="134">
        <v>96.213775999999996</v>
      </c>
      <c r="E17" s="134">
        <v>3.9164289999999999</v>
      </c>
      <c r="F17" s="134">
        <v>0.423489</v>
      </c>
      <c r="G17" s="134">
        <f>60/E17</f>
        <v>15.320078571576301</v>
      </c>
      <c r="H17" s="134">
        <v>1.8664194915000001</v>
      </c>
      <c r="I17" s="134">
        <v>2.0196822033999999</v>
      </c>
      <c r="J17" s="134">
        <v>0.9241154318</v>
      </c>
      <c r="K17" s="134">
        <v>176.17</v>
      </c>
      <c r="L17" s="134">
        <v>0.40555999999999998</v>
      </c>
      <c r="M17" s="134">
        <v>2.1800000000000001E-3</v>
      </c>
      <c r="N17" s="134">
        <v>0.28881000000000001</v>
      </c>
      <c r="O17" s="134">
        <v>9.0590000000000004E-2</v>
      </c>
      <c r="P17" s="134">
        <v>9.2780000000000001E-2</v>
      </c>
      <c r="Q17" s="134">
        <v>0</v>
      </c>
      <c r="R17" s="134">
        <v>0</v>
      </c>
      <c r="S17" s="134">
        <v>0</v>
      </c>
      <c r="T17" s="134">
        <v>0.23097000000000001</v>
      </c>
      <c r="U17" s="134">
        <v>0</v>
      </c>
      <c r="V17" s="134">
        <v>0.25380999999999998</v>
      </c>
      <c r="W17" s="134">
        <v>0.13644000000000001</v>
      </c>
      <c r="X17" s="134">
        <v>0.25324999999999998</v>
      </c>
      <c r="Y17" s="134">
        <v>4.9199999999999999E-3</v>
      </c>
      <c r="Z17" s="134">
        <v>0</v>
      </c>
      <c r="AA17" s="134">
        <v>5.5000000000000003E-4</v>
      </c>
      <c r="AB17" s="134">
        <v>0.53503000000000001</v>
      </c>
      <c r="AC17" s="134">
        <v>0.66410999999999998</v>
      </c>
      <c r="AD17" s="134">
        <v>0.60684000000000005</v>
      </c>
      <c r="AE17" s="134">
        <v>0.55879000000000001</v>
      </c>
      <c r="AF17" s="134">
        <v>-0.29086000000000001</v>
      </c>
      <c r="AG17" s="134">
        <v>-1.872727</v>
      </c>
      <c r="AH17" s="134">
        <v>0.68411299999999997</v>
      </c>
      <c r="AI17" s="134">
        <v>0.61664699999999995</v>
      </c>
      <c r="AJ17" s="134">
        <v>2.4712999999999999E-2</v>
      </c>
      <c r="AK17" s="134">
        <v>0.27241799999999999</v>
      </c>
    </row>
    <row r="18" spans="1:37" x14ac:dyDescent="0.25">
      <c r="A18" s="195" t="s">
        <v>68</v>
      </c>
      <c r="B18" s="88">
        <v>0</v>
      </c>
      <c r="C18" s="174">
        <v>1016.220027</v>
      </c>
      <c r="D18" s="134">
        <v>79.785807000000005</v>
      </c>
      <c r="E18" s="134">
        <v>6.1361309999999998</v>
      </c>
      <c r="F18" s="134">
        <v>2.168148</v>
      </c>
      <c r="G18" s="134">
        <f>60/E18</f>
        <v>9.7781484782511985</v>
      </c>
      <c r="H18" s="134">
        <v>2.4710838323000002</v>
      </c>
      <c r="I18" s="134">
        <v>2.9840479042000001</v>
      </c>
      <c r="J18" s="134">
        <v>0.82809790979999998</v>
      </c>
      <c r="K18" s="134">
        <v>113.48</v>
      </c>
      <c r="L18" s="134">
        <v>0.49417</v>
      </c>
      <c r="M18" s="134">
        <v>0</v>
      </c>
      <c r="N18" s="134">
        <v>0.30434</v>
      </c>
      <c r="O18" s="134">
        <v>6.1109999999999998E-2</v>
      </c>
      <c r="P18" s="134">
        <v>6.1109999999999998E-2</v>
      </c>
      <c r="Q18" s="134">
        <v>0</v>
      </c>
      <c r="R18" s="134">
        <v>0</v>
      </c>
      <c r="S18" s="134">
        <v>0</v>
      </c>
      <c r="T18" s="134">
        <v>0.34171000000000001</v>
      </c>
      <c r="U18" s="134">
        <v>0</v>
      </c>
      <c r="V18" s="134">
        <v>0.27461999999999998</v>
      </c>
      <c r="W18" s="134">
        <v>0.11229</v>
      </c>
      <c r="X18" s="134">
        <v>0.18770999999999999</v>
      </c>
      <c r="Y18" s="134">
        <v>3.3E-3</v>
      </c>
      <c r="Z18" s="134">
        <v>5.5000000000000003E-4</v>
      </c>
      <c r="AA18" s="134">
        <v>5.5000000000000003E-4</v>
      </c>
      <c r="AB18" s="134">
        <v>0.53008999999999995</v>
      </c>
      <c r="AC18" s="134">
        <v>0.65756999999999999</v>
      </c>
      <c r="AD18" s="134">
        <v>0.55174999999999996</v>
      </c>
      <c r="AE18" s="134">
        <v>0.50614999999999999</v>
      </c>
      <c r="AF18" s="134">
        <v>-0.32128000000000001</v>
      </c>
      <c r="AG18" s="134">
        <v>-1.9454549999999999</v>
      </c>
      <c r="AH18" s="134">
        <v>0.58783200000000002</v>
      </c>
      <c r="AI18" s="134">
        <v>0.734213</v>
      </c>
      <c r="AJ18" s="134">
        <v>2.7805E-2</v>
      </c>
      <c r="AK18" s="134">
        <v>0.434805</v>
      </c>
    </row>
    <row r="19" spans="1:37" x14ac:dyDescent="0.25">
      <c r="A19" s="195" t="s">
        <v>69</v>
      </c>
      <c r="B19" s="88">
        <v>0</v>
      </c>
      <c r="C19" s="174">
        <v>996.58528000000001</v>
      </c>
      <c r="D19" s="134">
        <v>66.458585999999997</v>
      </c>
      <c r="E19" s="134">
        <v>2.813069</v>
      </c>
      <c r="F19" s="134">
        <v>1.1874629999999999</v>
      </c>
      <c r="G19" s="134">
        <f>60/E19</f>
        <v>21.329018235955107</v>
      </c>
      <c r="H19" s="134">
        <v>1.1923087819</v>
      </c>
      <c r="I19" s="134">
        <v>1.4101501416</v>
      </c>
      <c r="J19" s="134">
        <v>0.84551903139999995</v>
      </c>
      <c r="K19" s="134">
        <v>41.79</v>
      </c>
      <c r="L19" s="134">
        <v>0.40561999999999998</v>
      </c>
      <c r="M19" s="134">
        <v>1.09E-3</v>
      </c>
      <c r="N19" s="134">
        <v>0.22492999999999999</v>
      </c>
      <c r="O19" s="134">
        <v>0.11842</v>
      </c>
      <c r="P19" s="134">
        <v>0.11624</v>
      </c>
      <c r="Q19" s="134">
        <v>0</v>
      </c>
      <c r="R19" s="134">
        <v>0</v>
      </c>
      <c r="S19" s="134">
        <v>0</v>
      </c>
      <c r="T19" s="134">
        <v>0.15840000000000001</v>
      </c>
      <c r="U19" s="134">
        <v>0</v>
      </c>
      <c r="V19" s="134">
        <v>0.14909</v>
      </c>
      <c r="W19" s="134">
        <v>0.19755</v>
      </c>
      <c r="X19" s="134">
        <v>0.32906999999999997</v>
      </c>
      <c r="Y19" s="134">
        <v>3.1099999999999999E-2</v>
      </c>
      <c r="Z19" s="134">
        <v>1.09E-3</v>
      </c>
      <c r="AA19" s="134">
        <v>0</v>
      </c>
      <c r="AB19" s="134">
        <v>0.56901000000000002</v>
      </c>
      <c r="AC19" s="134">
        <v>0.69184000000000001</v>
      </c>
      <c r="AD19" s="134">
        <v>0.63997000000000004</v>
      </c>
      <c r="AE19" s="134">
        <v>0.57023000000000001</v>
      </c>
      <c r="AF19" s="134">
        <v>-0.26090999999999998</v>
      </c>
      <c r="AG19" s="134">
        <v>-1.9454549999999999</v>
      </c>
      <c r="AH19" s="134">
        <v>0.73199700000000001</v>
      </c>
      <c r="AI19" s="134">
        <v>0.74999199999999999</v>
      </c>
      <c r="AJ19" s="134">
        <v>4.4949999999999997E-2</v>
      </c>
      <c r="AK19" s="134">
        <v>0.70552899999999996</v>
      </c>
    </row>
    <row r="20" spans="1:37" x14ac:dyDescent="0.25">
      <c r="A20" s="195" t="s">
        <v>70</v>
      </c>
      <c r="B20" s="88">
        <v>0</v>
      </c>
      <c r="C20" s="174">
        <v>960.76869399999998</v>
      </c>
      <c r="D20" s="134">
        <v>58.430525000000003</v>
      </c>
      <c r="E20" s="134">
        <v>3.5292669999999999</v>
      </c>
      <c r="F20" s="134">
        <v>1.0387329999999999</v>
      </c>
      <c r="G20" s="134">
        <f>60/E20</f>
        <v>17.000697311934744</v>
      </c>
      <c r="H20" s="134">
        <v>1.6720404412000001</v>
      </c>
      <c r="I20" s="134">
        <v>1.6896691176</v>
      </c>
      <c r="J20" s="134">
        <v>0.98956678779999996</v>
      </c>
      <c r="K20" s="134">
        <v>64.63</v>
      </c>
      <c r="L20" s="134">
        <v>0.42637000000000003</v>
      </c>
      <c r="M20" s="134">
        <v>0</v>
      </c>
      <c r="N20" s="134">
        <v>0.25230999999999998</v>
      </c>
      <c r="O20" s="134">
        <v>9.7989999999999994E-2</v>
      </c>
      <c r="P20" s="134">
        <v>9.7979999999999998E-2</v>
      </c>
      <c r="Q20" s="134">
        <v>0</v>
      </c>
      <c r="R20" s="134">
        <v>0</v>
      </c>
      <c r="S20" s="134">
        <v>0</v>
      </c>
      <c r="T20" s="134">
        <v>0.20030999999999999</v>
      </c>
      <c r="U20" s="134">
        <v>0</v>
      </c>
      <c r="V20" s="134">
        <v>0.21998999999999999</v>
      </c>
      <c r="W20" s="134">
        <v>0.15765999999999999</v>
      </c>
      <c r="X20" s="134">
        <v>0.27972000000000002</v>
      </c>
      <c r="Y20" s="134">
        <v>1.26E-2</v>
      </c>
      <c r="Z20" s="134">
        <v>3.8300000000000001E-3</v>
      </c>
      <c r="AA20" s="134">
        <v>5.5000000000000003E-4</v>
      </c>
      <c r="AB20" s="134">
        <v>0.54908000000000001</v>
      </c>
      <c r="AC20" s="134">
        <v>0.68117000000000005</v>
      </c>
      <c r="AD20" s="134">
        <v>0.61921999999999999</v>
      </c>
      <c r="AE20" s="134">
        <v>0.56381000000000003</v>
      </c>
      <c r="AF20" s="134">
        <v>-0.28567999999999999</v>
      </c>
      <c r="AG20" s="134">
        <v>-1.8363640000000001</v>
      </c>
      <c r="AH20" s="134">
        <v>0.73714400000000002</v>
      </c>
      <c r="AI20" s="134">
        <v>0.72180599999999995</v>
      </c>
      <c r="AJ20" s="134">
        <v>3.1593999999999997E-2</v>
      </c>
      <c r="AK20" s="134">
        <v>0.48875600000000002</v>
      </c>
    </row>
    <row r="21" spans="1:37" x14ac:dyDescent="0.25">
      <c r="A21" s="195" t="s">
        <v>72</v>
      </c>
      <c r="B21" s="88">
        <v>0</v>
      </c>
      <c r="C21" s="174">
        <v>1057.227907</v>
      </c>
      <c r="D21" s="134">
        <v>75.195779999999999</v>
      </c>
      <c r="E21" s="134">
        <v>3.9697290000000001</v>
      </c>
      <c r="F21" s="134">
        <v>1.758135</v>
      </c>
      <c r="G21" s="134">
        <f>60/E21</f>
        <v>15.114381863346338</v>
      </c>
      <c r="H21" s="134">
        <v>1.7058577075000001</v>
      </c>
      <c r="I21" s="134">
        <v>1.8946916996000001</v>
      </c>
      <c r="J21" s="134">
        <v>0.90033524070000004</v>
      </c>
      <c r="K21" s="134">
        <v>89.45</v>
      </c>
      <c r="L21" s="134">
        <v>0.36981000000000003</v>
      </c>
      <c r="M21" s="134">
        <v>0</v>
      </c>
      <c r="N21" s="134">
        <v>0.32523000000000002</v>
      </c>
      <c r="O21" s="134">
        <v>8.6269999999999999E-2</v>
      </c>
      <c r="P21" s="134">
        <v>8.6269999999999999E-2</v>
      </c>
      <c r="Q21" s="134">
        <v>0</v>
      </c>
      <c r="R21" s="134">
        <v>0</v>
      </c>
      <c r="S21" s="134">
        <v>0</v>
      </c>
      <c r="T21" s="134">
        <v>0.22306000000000001</v>
      </c>
      <c r="U21" s="134">
        <v>0</v>
      </c>
      <c r="V21" s="134">
        <v>0.21318999999999999</v>
      </c>
      <c r="W21" s="134">
        <v>0.14835999999999999</v>
      </c>
      <c r="X21" s="134">
        <v>0.27746999999999999</v>
      </c>
      <c r="Y21" s="134">
        <v>3.8500000000000001E-3</v>
      </c>
      <c r="Z21" s="134">
        <v>1.1000000000000001E-3</v>
      </c>
      <c r="AA21" s="134">
        <v>5.5000000000000003E-4</v>
      </c>
      <c r="AB21" s="134">
        <v>0.54149999999999998</v>
      </c>
      <c r="AC21" s="134">
        <v>0.66430999999999996</v>
      </c>
      <c r="AD21" s="134">
        <v>0.62295999999999996</v>
      </c>
      <c r="AE21" s="134">
        <v>0.57474000000000003</v>
      </c>
      <c r="AF21" s="134">
        <v>-0.29182999999999998</v>
      </c>
      <c r="AG21" s="134">
        <v>-2</v>
      </c>
      <c r="AH21" s="134">
        <v>0.71610399999999996</v>
      </c>
      <c r="AI21" s="134">
        <v>0.79393100000000005</v>
      </c>
      <c r="AJ21" s="134">
        <v>1.6891E-2</v>
      </c>
      <c r="AK21" s="134">
        <v>0.65844000000000003</v>
      </c>
    </row>
    <row r="22" spans="1:37" x14ac:dyDescent="0.25">
      <c r="A22" s="195" t="s">
        <v>73</v>
      </c>
      <c r="B22" s="88">
        <v>0</v>
      </c>
      <c r="C22" s="174">
        <v>984.77528500000005</v>
      </c>
      <c r="D22" s="134">
        <v>65.913162999999997</v>
      </c>
      <c r="E22" s="134">
        <v>5.552136</v>
      </c>
      <c r="F22" s="134">
        <v>1.294581</v>
      </c>
      <c r="G22" s="134">
        <f>60/E22</f>
        <v>10.8066517102607</v>
      </c>
      <c r="H22" s="134">
        <v>8.8194761904999996</v>
      </c>
      <c r="I22" s="134">
        <v>3.4320357143</v>
      </c>
      <c r="J22" s="134">
        <v>2.5697507033</v>
      </c>
      <c r="K22" s="134">
        <v>91.75</v>
      </c>
      <c r="L22" s="134">
        <v>0.44477</v>
      </c>
      <c r="M22" s="134">
        <v>2.7599999999999999E-3</v>
      </c>
      <c r="N22" s="134">
        <v>0.35428999999999999</v>
      </c>
      <c r="O22" s="134">
        <v>5.4649999999999997E-2</v>
      </c>
      <c r="P22" s="134">
        <v>5.4649999999999997E-2</v>
      </c>
      <c r="Q22" s="134">
        <v>0</v>
      </c>
      <c r="R22" s="134">
        <v>0</v>
      </c>
      <c r="S22" s="134">
        <v>0</v>
      </c>
      <c r="T22" s="134">
        <v>0.35422999999999999</v>
      </c>
      <c r="U22" s="134">
        <v>0</v>
      </c>
      <c r="V22" s="134">
        <v>0.23397999999999999</v>
      </c>
      <c r="W22" s="134">
        <v>0.10764</v>
      </c>
      <c r="X22" s="134">
        <v>0.20644000000000001</v>
      </c>
      <c r="Y22" s="134">
        <v>8.8299999999999993E-3</v>
      </c>
      <c r="Z22" s="134">
        <v>0</v>
      </c>
      <c r="AA22" s="134">
        <v>0</v>
      </c>
      <c r="AB22" s="134">
        <v>0.52612000000000003</v>
      </c>
      <c r="AC22" s="134">
        <v>0.65429000000000004</v>
      </c>
      <c r="AD22" s="134">
        <v>0.56277999999999995</v>
      </c>
      <c r="AE22" s="134">
        <v>0.52217000000000002</v>
      </c>
      <c r="AF22" s="134">
        <v>-0.32374999999999998</v>
      </c>
      <c r="AG22" s="134">
        <v>-2</v>
      </c>
      <c r="AH22" s="134">
        <v>0.63332999999999995</v>
      </c>
      <c r="AI22" s="134">
        <v>0.62894899999999998</v>
      </c>
      <c r="AJ22" s="134">
        <v>1.4205000000000001E-2</v>
      </c>
      <c r="AK22" s="134">
        <v>0.34838200000000002</v>
      </c>
    </row>
    <row r="23" spans="1:37" x14ac:dyDescent="0.25">
      <c r="A23" s="195" t="s">
        <v>75</v>
      </c>
      <c r="B23" s="88">
        <v>0</v>
      </c>
      <c r="C23" s="174">
        <v>896.30245600000001</v>
      </c>
      <c r="D23" s="134">
        <v>38.931311000000001</v>
      </c>
      <c r="E23" s="134">
        <v>5.8805579999999997</v>
      </c>
      <c r="F23" s="134">
        <v>1.1558850000000001</v>
      </c>
      <c r="G23" s="134">
        <f>60/E23</f>
        <v>10.203113378016168</v>
      </c>
      <c r="H23" s="134">
        <v>3.4914654087999999</v>
      </c>
      <c r="I23" s="134">
        <v>2.1834276730000002</v>
      </c>
      <c r="J23" s="134">
        <v>1.5990753676</v>
      </c>
      <c r="K23" s="134">
        <v>51.26</v>
      </c>
      <c r="L23" s="134">
        <v>0.45454</v>
      </c>
      <c r="M23" s="134">
        <v>0</v>
      </c>
      <c r="N23" s="134">
        <v>0.34478999999999999</v>
      </c>
      <c r="O23" s="134">
        <v>5.432E-2</v>
      </c>
      <c r="P23" s="134">
        <v>5.432E-2</v>
      </c>
      <c r="Q23" s="134">
        <v>0</v>
      </c>
      <c r="R23" s="134">
        <v>0</v>
      </c>
      <c r="S23" s="134">
        <v>0</v>
      </c>
      <c r="T23" s="134">
        <v>0.29826000000000003</v>
      </c>
      <c r="U23" s="134">
        <v>0</v>
      </c>
      <c r="V23" s="134">
        <v>0.29154000000000002</v>
      </c>
      <c r="W23" s="134">
        <v>0.10034</v>
      </c>
      <c r="X23" s="134">
        <v>0.20066999999999999</v>
      </c>
      <c r="Y23" s="134">
        <v>1.1639999999999999E-2</v>
      </c>
      <c r="Z23" s="134">
        <v>2.2200000000000002E-3</v>
      </c>
      <c r="AA23" s="134">
        <v>3.32E-3</v>
      </c>
      <c r="AB23" s="134">
        <v>0.53985000000000005</v>
      </c>
      <c r="AC23" s="134">
        <v>0.68410000000000004</v>
      </c>
      <c r="AD23" s="134">
        <v>0.56708999999999998</v>
      </c>
      <c r="AE23" s="134">
        <v>0.52137</v>
      </c>
      <c r="AF23" s="134">
        <v>-0.32251999999999997</v>
      </c>
      <c r="AG23" s="134">
        <v>-1.9818180000000001</v>
      </c>
      <c r="AH23" s="134">
        <v>0.58356799999999998</v>
      </c>
      <c r="AI23" s="134">
        <v>0.62809000000000004</v>
      </c>
      <c r="AJ23" s="134">
        <v>2.1201000000000001E-2</v>
      </c>
      <c r="AK23" s="134">
        <v>0.31056299999999998</v>
      </c>
    </row>
    <row r="24" spans="1:37" x14ac:dyDescent="0.25">
      <c r="A24" s="195" t="s">
        <v>78</v>
      </c>
      <c r="B24" s="88">
        <v>0</v>
      </c>
      <c r="C24" s="174">
        <v>749.46329500000002</v>
      </c>
      <c r="D24" s="134">
        <v>49.011232999999997</v>
      </c>
      <c r="E24" s="134">
        <v>4.0080859999999996</v>
      </c>
      <c r="F24" s="134">
        <v>0.83683799999999997</v>
      </c>
      <c r="G24" s="134">
        <f>60/E24</f>
        <v>14.969738673271982</v>
      </c>
      <c r="H24" s="134">
        <v>1.6083432203000001</v>
      </c>
      <c r="I24" s="134">
        <v>2.2684618643999999</v>
      </c>
      <c r="J24" s="134">
        <v>0.70900165680000005</v>
      </c>
      <c r="K24" s="134">
        <v>54.98</v>
      </c>
      <c r="L24" s="134">
        <v>0.43529000000000001</v>
      </c>
      <c r="M24" s="134">
        <v>0</v>
      </c>
      <c r="N24" s="134">
        <v>0.27639000000000002</v>
      </c>
      <c r="O24" s="134">
        <v>8.7370000000000003E-2</v>
      </c>
      <c r="P24" s="134">
        <v>8.7370000000000003E-2</v>
      </c>
      <c r="Q24" s="134">
        <v>0</v>
      </c>
      <c r="R24" s="134">
        <v>0</v>
      </c>
      <c r="S24" s="134">
        <v>0</v>
      </c>
      <c r="T24" s="134">
        <v>0.24579999999999999</v>
      </c>
      <c r="U24" s="134">
        <v>0</v>
      </c>
      <c r="V24" s="134">
        <v>0.24634</v>
      </c>
      <c r="W24" s="134">
        <v>0.13324</v>
      </c>
      <c r="X24" s="134">
        <v>0.24793000000000001</v>
      </c>
      <c r="Y24" s="134">
        <v>8.1899999999999994E-3</v>
      </c>
      <c r="Z24" s="134">
        <v>3.2799999999999999E-3</v>
      </c>
      <c r="AA24" s="134">
        <v>1.64E-3</v>
      </c>
      <c r="AB24" s="134">
        <v>0.54149000000000003</v>
      </c>
      <c r="AC24" s="134">
        <v>0.67915000000000003</v>
      </c>
      <c r="AD24" s="134">
        <v>0.60350999999999999</v>
      </c>
      <c r="AE24" s="134">
        <v>0.55354000000000003</v>
      </c>
      <c r="AF24" s="134">
        <v>-0.29388999999999998</v>
      </c>
      <c r="AG24" s="134">
        <v>-1.9454549999999999</v>
      </c>
      <c r="AH24" s="134">
        <v>0.69722799999999996</v>
      </c>
      <c r="AI24" s="134">
        <v>0.71116599999999996</v>
      </c>
      <c r="AJ24" s="134">
        <v>3.3515999999999997E-2</v>
      </c>
      <c r="AK24" s="134">
        <v>0.38212099999999999</v>
      </c>
    </row>
    <row r="25" spans="1:37" x14ac:dyDescent="0.25">
      <c r="A25" s="195" t="s">
        <v>79</v>
      </c>
      <c r="B25" s="88">
        <v>0</v>
      </c>
      <c r="C25" s="174">
        <v>957.42530699999998</v>
      </c>
      <c r="D25" s="134">
        <v>72.553697</v>
      </c>
      <c r="E25" s="134">
        <v>2.8321589999999999</v>
      </c>
      <c r="F25" s="134">
        <v>0.42852899999999999</v>
      </c>
      <c r="G25" s="134">
        <f>60/E25</f>
        <v>21.185251251783534</v>
      </c>
      <c r="H25" s="134">
        <v>1.2901782476999999</v>
      </c>
      <c r="I25" s="134">
        <v>1.478</v>
      </c>
      <c r="J25" s="134">
        <v>0.87292168319999996</v>
      </c>
      <c r="K25" s="134">
        <v>84.67</v>
      </c>
      <c r="L25" s="134">
        <v>0.36636000000000002</v>
      </c>
      <c r="M25" s="134">
        <v>0</v>
      </c>
      <c r="N25" s="134">
        <v>0.26135000000000003</v>
      </c>
      <c r="O25" s="134">
        <v>0.12845999999999999</v>
      </c>
      <c r="P25" s="134">
        <v>0.12518000000000001</v>
      </c>
      <c r="Q25" s="134">
        <v>4.9199999999999999E-3</v>
      </c>
      <c r="R25" s="134">
        <v>0</v>
      </c>
      <c r="S25" s="134">
        <v>0</v>
      </c>
      <c r="T25" s="134">
        <v>0.20122999999999999</v>
      </c>
      <c r="U25" s="134">
        <v>0</v>
      </c>
      <c r="V25" s="134">
        <v>0.19794999999999999</v>
      </c>
      <c r="W25" s="134">
        <v>0.16455</v>
      </c>
      <c r="X25" s="134">
        <v>0.28483000000000003</v>
      </c>
      <c r="Y25" s="134">
        <v>3.6069999999999998E-2</v>
      </c>
      <c r="Z25" s="134">
        <v>1.09E-3</v>
      </c>
      <c r="AA25" s="134">
        <v>5.5000000000000003E-4</v>
      </c>
      <c r="AB25" s="134">
        <v>0.59565999999999997</v>
      </c>
      <c r="AC25" s="134">
        <v>0.72030000000000005</v>
      </c>
      <c r="AD25" s="134">
        <v>0.66037999999999997</v>
      </c>
      <c r="AE25" s="134">
        <v>0.60726999999999998</v>
      </c>
      <c r="AF25" s="134">
        <v>-0.23044999999999999</v>
      </c>
      <c r="AG25" s="134">
        <v>-1.236364</v>
      </c>
      <c r="AH25" s="134">
        <v>0.76005299999999998</v>
      </c>
      <c r="AI25" s="134">
        <v>0.67670200000000003</v>
      </c>
      <c r="AJ25" s="134">
        <v>7.2716000000000003E-2</v>
      </c>
      <c r="AK25" s="134">
        <v>0.24854899999999999</v>
      </c>
    </row>
    <row r="26" spans="1:37" x14ac:dyDescent="0.25">
      <c r="A26" s="195" t="s">
        <v>80</v>
      </c>
      <c r="B26" s="88">
        <v>0</v>
      </c>
      <c r="C26" s="174">
        <v>1205.8045199999999</v>
      </c>
      <c r="D26" s="134">
        <v>59.548260999999997</v>
      </c>
      <c r="E26" s="134">
        <v>4.5741820000000004</v>
      </c>
      <c r="F26" s="134">
        <v>1.9101379999999999</v>
      </c>
      <c r="G26" s="134">
        <f>60/E26</f>
        <v>13.117099407063382</v>
      </c>
      <c r="H26" s="134">
        <v>6.4699132419999996</v>
      </c>
      <c r="I26" s="134">
        <v>2.3080730593999998</v>
      </c>
      <c r="J26" s="134">
        <v>2.8031665704000002</v>
      </c>
      <c r="K26" s="134">
        <v>54.27</v>
      </c>
      <c r="L26" s="134">
        <v>0.41787999999999997</v>
      </c>
      <c r="M26" s="134">
        <v>0</v>
      </c>
      <c r="N26" s="134">
        <v>0.31561</v>
      </c>
      <c r="O26" s="134">
        <v>7.8520000000000006E-2</v>
      </c>
      <c r="P26" s="134">
        <v>7.8520000000000006E-2</v>
      </c>
      <c r="Q26" s="134">
        <v>0</v>
      </c>
      <c r="R26" s="134">
        <v>0</v>
      </c>
      <c r="S26" s="134">
        <v>0</v>
      </c>
      <c r="T26" s="134">
        <v>0.26917000000000002</v>
      </c>
      <c r="U26" s="134">
        <v>0</v>
      </c>
      <c r="V26" s="134">
        <v>0.24376</v>
      </c>
      <c r="W26" s="134">
        <v>0.13103000000000001</v>
      </c>
      <c r="X26" s="134">
        <v>0.24324999999999999</v>
      </c>
      <c r="Y26" s="134">
        <v>2.7799999999999999E-3</v>
      </c>
      <c r="Z26" s="134">
        <v>5.5000000000000003E-4</v>
      </c>
      <c r="AA26" s="134">
        <v>0</v>
      </c>
      <c r="AB26" s="134">
        <v>0.53569999999999995</v>
      </c>
      <c r="AC26" s="134">
        <v>0.65668000000000004</v>
      </c>
      <c r="AD26" s="134">
        <v>0.59894000000000003</v>
      </c>
      <c r="AE26" s="134">
        <v>0.55942999999999998</v>
      </c>
      <c r="AF26" s="134">
        <v>-0.30196000000000001</v>
      </c>
      <c r="AG26" s="134">
        <v>-1.9636359999999999</v>
      </c>
      <c r="AH26" s="134">
        <v>0.68076599999999998</v>
      </c>
      <c r="AI26" s="134">
        <v>0.73750199999999999</v>
      </c>
      <c r="AJ26" s="134">
        <v>2.3165999999999999E-2</v>
      </c>
      <c r="AK26" s="134">
        <v>0.592947</v>
      </c>
    </row>
    <row r="27" spans="1:37" x14ac:dyDescent="0.25">
      <c r="A27" s="195" t="s">
        <v>82</v>
      </c>
      <c r="B27" s="88">
        <v>0</v>
      </c>
      <c r="C27" s="174">
        <v>1076.825623</v>
      </c>
      <c r="D27" s="134">
        <v>40.242733999999999</v>
      </c>
      <c r="E27" s="134">
        <v>5.6060290000000004</v>
      </c>
      <c r="F27" s="134">
        <v>1.8834230000000001</v>
      </c>
      <c r="G27" s="134">
        <f>60/E27</f>
        <v>10.702763043145156</v>
      </c>
      <c r="H27" s="134">
        <v>3.0673463687</v>
      </c>
      <c r="I27" s="134">
        <v>2.0181229049999998</v>
      </c>
      <c r="J27" s="134">
        <v>1.5199006766000001</v>
      </c>
      <c r="K27" s="134">
        <v>25.87</v>
      </c>
      <c r="L27" s="134">
        <v>0.38299</v>
      </c>
      <c r="M27" s="134">
        <v>0</v>
      </c>
      <c r="N27" s="134">
        <v>0.37085000000000001</v>
      </c>
      <c r="O27" s="134">
        <v>7.0879999999999999E-2</v>
      </c>
      <c r="P27" s="134">
        <v>7.0879999999999999E-2</v>
      </c>
      <c r="Q27" s="134">
        <v>0</v>
      </c>
      <c r="R27" s="134">
        <v>0</v>
      </c>
      <c r="S27" s="134">
        <v>0</v>
      </c>
      <c r="T27" s="134">
        <v>0.25220999999999999</v>
      </c>
      <c r="U27" s="134">
        <v>0</v>
      </c>
      <c r="V27" s="134">
        <v>0.24451000000000001</v>
      </c>
      <c r="W27" s="134">
        <v>0.13186999999999999</v>
      </c>
      <c r="X27" s="134">
        <v>0.24615000000000001</v>
      </c>
      <c r="Y27" s="134">
        <v>1.2630000000000001E-2</v>
      </c>
      <c r="Z27" s="134">
        <v>3.3E-3</v>
      </c>
      <c r="AA27" s="134">
        <v>4.9399999999999999E-3</v>
      </c>
      <c r="AB27" s="134">
        <v>0.56810000000000005</v>
      </c>
      <c r="AC27" s="134">
        <v>0.70055000000000001</v>
      </c>
      <c r="AD27" s="134">
        <v>0.60990999999999995</v>
      </c>
      <c r="AE27" s="134">
        <v>0.56306</v>
      </c>
      <c r="AF27" s="134">
        <v>-0.30530000000000002</v>
      </c>
      <c r="AG27" s="134">
        <v>-1.818182</v>
      </c>
      <c r="AH27" s="134">
        <v>0.53357699999999997</v>
      </c>
      <c r="AI27" s="134">
        <v>0.66610899999999995</v>
      </c>
      <c r="AJ27" s="134">
        <v>4.4242999999999998E-2</v>
      </c>
      <c r="AK27" s="134">
        <v>0.30415799999999998</v>
      </c>
    </row>
    <row r="28" spans="1:37" x14ac:dyDescent="0.25">
      <c r="A28" s="195" t="s">
        <v>86</v>
      </c>
      <c r="B28" s="88">
        <v>0</v>
      </c>
      <c r="C28" s="174">
        <v>798.43374100000005</v>
      </c>
      <c r="D28" s="134">
        <v>58.560746000000002</v>
      </c>
      <c r="E28" s="134">
        <v>3.9811920000000001</v>
      </c>
      <c r="F28" s="134">
        <v>0.76488400000000001</v>
      </c>
      <c r="G28" s="134">
        <f>60/E28</f>
        <v>15.070863198760572</v>
      </c>
      <c r="H28" s="134">
        <v>2.195025641</v>
      </c>
      <c r="I28" s="134">
        <v>1.6977820512999999</v>
      </c>
      <c r="J28" s="134">
        <v>1.2928783404999999</v>
      </c>
      <c r="K28" s="134">
        <v>67.75</v>
      </c>
      <c r="L28" s="134">
        <v>0.42037000000000002</v>
      </c>
      <c r="M28" s="134">
        <v>0</v>
      </c>
      <c r="N28" s="134">
        <v>0.29481000000000002</v>
      </c>
      <c r="O28" s="134">
        <v>9.1450000000000004E-2</v>
      </c>
      <c r="P28" s="134">
        <v>9.1450000000000004E-2</v>
      </c>
      <c r="Q28" s="134">
        <v>0</v>
      </c>
      <c r="R28" s="134">
        <v>0</v>
      </c>
      <c r="S28" s="134">
        <v>0</v>
      </c>
      <c r="T28" s="134">
        <v>0.25785000000000002</v>
      </c>
      <c r="U28" s="134">
        <v>0</v>
      </c>
      <c r="V28" s="134">
        <v>0.25398999999999999</v>
      </c>
      <c r="W28" s="134">
        <v>0.12837999999999999</v>
      </c>
      <c r="X28" s="134">
        <v>0.24077000000000001</v>
      </c>
      <c r="Y28" s="134">
        <v>1.3769999999999999E-2</v>
      </c>
      <c r="Z28" s="134">
        <v>1.1000000000000001E-3</v>
      </c>
      <c r="AA28" s="134">
        <v>2.2100000000000002E-3</v>
      </c>
      <c r="AB28" s="134">
        <v>0.55916999999999994</v>
      </c>
      <c r="AC28" s="134">
        <v>0.69330000000000003</v>
      </c>
      <c r="AD28" s="134">
        <v>0.60611000000000004</v>
      </c>
      <c r="AE28" s="134">
        <v>0.55393000000000003</v>
      </c>
      <c r="AF28" s="134">
        <v>-0.28793000000000002</v>
      </c>
      <c r="AG28" s="134">
        <v>-1.6363639999999999</v>
      </c>
      <c r="AH28" s="134">
        <v>0.67352699999999999</v>
      </c>
      <c r="AI28" s="134">
        <v>0.66217400000000004</v>
      </c>
      <c r="AJ28" s="134">
        <v>5.2669000000000001E-2</v>
      </c>
      <c r="AK28" s="134">
        <v>0.26437699999999997</v>
      </c>
    </row>
    <row r="29" spans="1:37" x14ac:dyDescent="0.25">
      <c r="A29" s="195" t="s">
        <v>89</v>
      </c>
      <c r="B29" s="88">
        <v>0</v>
      </c>
      <c r="C29" s="174">
        <v>853.082222</v>
      </c>
      <c r="D29" s="134">
        <v>41.953938000000001</v>
      </c>
      <c r="E29" s="134">
        <v>3.7586949999999999</v>
      </c>
      <c r="F29" s="134">
        <v>0.49717699999999998</v>
      </c>
      <c r="G29" s="134">
        <f>60/E29</f>
        <v>15.962987153786088</v>
      </c>
      <c r="H29" s="134">
        <v>1.5782195122</v>
      </c>
      <c r="I29" s="134">
        <v>2.1462276423</v>
      </c>
      <c r="J29" s="134">
        <v>0.73534581379999997</v>
      </c>
      <c r="K29" s="134">
        <v>62.16</v>
      </c>
      <c r="L29" s="134">
        <v>0.41858000000000001</v>
      </c>
      <c r="M29" s="134">
        <v>0</v>
      </c>
      <c r="N29" s="134">
        <v>0.27378000000000002</v>
      </c>
      <c r="O29" s="134">
        <v>9.5079999999999998E-2</v>
      </c>
      <c r="P29" s="134">
        <v>9.5079999999999998E-2</v>
      </c>
      <c r="Q29" s="134">
        <v>0</v>
      </c>
      <c r="R29" s="134">
        <v>0</v>
      </c>
      <c r="S29" s="134">
        <v>0</v>
      </c>
      <c r="T29" s="134">
        <v>0.20385</v>
      </c>
      <c r="U29" s="134">
        <v>0</v>
      </c>
      <c r="V29" s="134">
        <v>0.28031</v>
      </c>
      <c r="W29" s="134">
        <v>0.13661000000000001</v>
      </c>
      <c r="X29" s="134">
        <v>0.24590000000000001</v>
      </c>
      <c r="Y29" s="134">
        <v>1.1480000000000001E-2</v>
      </c>
      <c r="Z29" s="134">
        <v>2.7299999999999998E-3</v>
      </c>
      <c r="AA29" s="134">
        <v>1.64E-3</v>
      </c>
      <c r="AB29" s="134">
        <v>0.54666999999999999</v>
      </c>
      <c r="AC29" s="134">
        <v>0.69332000000000005</v>
      </c>
      <c r="AD29" s="134">
        <v>0.60226999999999997</v>
      </c>
      <c r="AE29" s="134">
        <v>0.5464</v>
      </c>
      <c r="AF29" s="134">
        <v>-0.28605000000000003</v>
      </c>
      <c r="AG29" s="134">
        <v>-1.7272730000000001</v>
      </c>
      <c r="AH29" s="134">
        <v>0.68566800000000006</v>
      </c>
      <c r="AI29" s="134">
        <v>0.56176400000000004</v>
      </c>
      <c r="AJ29" s="134">
        <v>3.7422999999999998E-2</v>
      </c>
      <c r="AK29" s="134">
        <v>0.205845</v>
      </c>
    </row>
    <row r="30" spans="1:37" x14ac:dyDescent="0.25">
      <c r="A30" s="195" t="s">
        <v>91</v>
      </c>
      <c r="B30" s="88">
        <v>0</v>
      </c>
      <c r="C30" s="174">
        <v>953.79931899999997</v>
      </c>
      <c r="D30" s="134">
        <v>51.618183000000002</v>
      </c>
      <c r="E30" s="134">
        <v>9.1948899999999991</v>
      </c>
      <c r="F30" s="134">
        <v>2.970739</v>
      </c>
      <c r="G30" s="134">
        <f>60/E30</f>
        <v>6.5253635443164635</v>
      </c>
      <c r="H30" s="134">
        <v>12.3393831776</v>
      </c>
      <c r="I30" s="134">
        <v>3.9909813083999999</v>
      </c>
      <c r="J30" s="134">
        <v>3.09181683</v>
      </c>
      <c r="K30" s="134">
        <v>78.34</v>
      </c>
      <c r="L30" s="134">
        <v>0.39624999999999999</v>
      </c>
      <c r="M30" s="134">
        <v>0</v>
      </c>
      <c r="N30" s="134">
        <v>0.46972999999999998</v>
      </c>
      <c r="O30" s="134">
        <v>3.1579999999999997E-2</v>
      </c>
      <c r="P30" s="134">
        <v>3.1579999999999997E-2</v>
      </c>
      <c r="Q30" s="134">
        <v>0</v>
      </c>
      <c r="R30" s="134">
        <v>0</v>
      </c>
      <c r="S30" s="134">
        <v>0</v>
      </c>
      <c r="T30" s="134">
        <v>0.38229999999999997</v>
      </c>
      <c r="U30" s="134">
        <v>0</v>
      </c>
      <c r="V30" s="134">
        <v>0.30381000000000002</v>
      </c>
      <c r="W30" s="134">
        <v>7.2529999999999997E-2</v>
      </c>
      <c r="X30" s="134">
        <v>0.15445</v>
      </c>
      <c r="Y30" s="134">
        <v>9.9600000000000001E-3</v>
      </c>
      <c r="Z30" s="134">
        <v>3.32E-3</v>
      </c>
      <c r="AA30" s="134">
        <v>2.7699999999999999E-3</v>
      </c>
      <c r="AB30" s="134">
        <v>0.50754999999999995</v>
      </c>
      <c r="AC30" s="134">
        <v>0.67300000000000004</v>
      </c>
      <c r="AD30" s="134">
        <v>0.50019000000000002</v>
      </c>
      <c r="AE30" s="134">
        <v>0.44918999999999998</v>
      </c>
      <c r="AF30" s="134">
        <v>-0.35267999999999999</v>
      </c>
      <c r="AG30" s="134">
        <v>-1.927273</v>
      </c>
      <c r="AH30" s="134">
        <v>0.46790500000000002</v>
      </c>
      <c r="AI30" s="134">
        <v>0.597078</v>
      </c>
      <c r="AJ30" s="134">
        <v>2.5735000000000001E-2</v>
      </c>
      <c r="AK30" s="134">
        <v>0.278671</v>
      </c>
    </row>
    <row r="31" spans="1:37" x14ac:dyDescent="0.25">
      <c r="A31" s="195" t="s">
        <v>94</v>
      </c>
      <c r="B31" s="88">
        <v>0</v>
      </c>
      <c r="C31" s="174">
        <v>799.25592600000004</v>
      </c>
      <c r="D31" s="134">
        <v>26.023098999999998</v>
      </c>
      <c r="E31" s="134">
        <v>4.1827649999999998</v>
      </c>
      <c r="F31" s="134">
        <v>0.89746400000000004</v>
      </c>
      <c r="G31" s="134">
        <f>60/E31</f>
        <v>14.344578287329076</v>
      </c>
      <c r="H31" s="134">
        <v>1.6190222221999999</v>
      </c>
      <c r="I31" s="134">
        <v>2.4136044444000002</v>
      </c>
      <c r="J31" s="134">
        <v>0.67079020590000005</v>
      </c>
      <c r="K31" s="134">
        <v>35.26</v>
      </c>
      <c r="L31" s="134">
        <v>0.50987000000000005</v>
      </c>
      <c r="M31" s="134">
        <v>0</v>
      </c>
      <c r="N31" s="134">
        <v>0.25397999999999998</v>
      </c>
      <c r="O31" s="134">
        <v>6.676E-2</v>
      </c>
      <c r="P31" s="134">
        <v>6.676E-2</v>
      </c>
      <c r="Q31" s="134">
        <v>0</v>
      </c>
      <c r="R31" s="134">
        <v>0</v>
      </c>
      <c r="S31" s="134">
        <v>0</v>
      </c>
      <c r="T31" s="134">
        <v>0.19161</v>
      </c>
      <c r="U31" s="134">
        <v>0</v>
      </c>
      <c r="V31" s="134">
        <v>0.29966999999999999</v>
      </c>
      <c r="W31" s="134">
        <v>0.14785999999999999</v>
      </c>
      <c r="X31" s="134">
        <v>0.24443000000000001</v>
      </c>
      <c r="Y31" s="134">
        <v>6.0699999999999999E-3</v>
      </c>
      <c r="Z31" s="134">
        <v>4.4099999999999999E-3</v>
      </c>
      <c r="AA31" s="134">
        <v>3.31E-3</v>
      </c>
      <c r="AB31" s="134">
        <v>0.52490999999999999</v>
      </c>
      <c r="AC31" s="134">
        <v>0.66135999999999995</v>
      </c>
      <c r="AD31" s="134">
        <v>0.56210000000000004</v>
      </c>
      <c r="AE31" s="134">
        <v>0.50368999999999997</v>
      </c>
      <c r="AF31" s="134">
        <v>-0.32221</v>
      </c>
      <c r="AG31" s="134">
        <v>-2</v>
      </c>
      <c r="AH31" s="134">
        <v>0.67609600000000003</v>
      </c>
      <c r="AI31" s="134">
        <v>0.73896399999999995</v>
      </c>
      <c r="AJ31" s="134">
        <v>1.8865E-2</v>
      </c>
      <c r="AK31" s="134">
        <v>0.53245699999999996</v>
      </c>
    </row>
    <row r="32" spans="1:37" x14ac:dyDescent="0.25">
      <c r="A32" s="195" t="s">
        <v>95</v>
      </c>
      <c r="B32" s="88">
        <v>0</v>
      </c>
      <c r="C32" s="174">
        <v>691.80268100000001</v>
      </c>
      <c r="D32" s="134">
        <v>38.139131999999996</v>
      </c>
      <c r="E32" s="134">
        <v>2.6882670000000002</v>
      </c>
      <c r="F32" s="134">
        <v>0.64448399999999995</v>
      </c>
      <c r="G32" s="134">
        <f>60/E32</f>
        <v>22.319211596169577</v>
      </c>
      <c r="H32" s="134">
        <v>1.1248515405999999</v>
      </c>
      <c r="I32" s="134">
        <v>1.4356834733999999</v>
      </c>
      <c r="J32" s="134">
        <v>0.7834954999</v>
      </c>
      <c r="K32" s="134">
        <v>33</v>
      </c>
      <c r="L32" s="134">
        <v>0.35843999999999998</v>
      </c>
      <c r="M32" s="134">
        <v>1.1000000000000001E-3</v>
      </c>
      <c r="N32" s="134">
        <v>0.26190999999999998</v>
      </c>
      <c r="O32" s="134">
        <v>0.13475999999999999</v>
      </c>
      <c r="P32" s="134">
        <v>0.11723</v>
      </c>
      <c r="Q32" s="134">
        <v>1.533E-2</v>
      </c>
      <c r="R32" s="134">
        <v>0</v>
      </c>
      <c r="S32" s="134">
        <v>0</v>
      </c>
      <c r="T32" s="134">
        <v>0.26680999999999999</v>
      </c>
      <c r="U32" s="134">
        <v>0</v>
      </c>
      <c r="V32" s="134">
        <v>0.18034</v>
      </c>
      <c r="W32" s="134">
        <v>0.14355999999999999</v>
      </c>
      <c r="X32" s="134">
        <v>0.24822</v>
      </c>
      <c r="Y32" s="134">
        <v>4.6010000000000002E-2</v>
      </c>
      <c r="Z32" s="134">
        <v>2.1900000000000001E-3</v>
      </c>
      <c r="AA32" s="134">
        <v>1.64E-3</v>
      </c>
      <c r="AB32" s="134">
        <v>0.61931000000000003</v>
      </c>
      <c r="AC32" s="134">
        <v>0.75504000000000004</v>
      </c>
      <c r="AD32" s="134">
        <v>0.67906999999999995</v>
      </c>
      <c r="AE32" s="134">
        <v>0.62707999999999997</v>
      </c>
      <c r="AF32" s="134">
        <v>-0.19489000000000001</v>
      </c>
      <c r="AG32" s="134">
        <v>-1</v>
      </c>
      <c r="AH32" s="134">
        <v>0.71712299999999995</v>
      </c>
      <c r="AI32" s="134">
        <v>0.62656999999999996</v>
      </c>
      <c r="AJ32" s="134">
        <v>7.6183000000000001E-2</v>
      </c>
      <c r="AK32" s="134">
        <v>0.17977399999999999</v>
      </c>
    </row>
    <row r="33" spans="1:37" x14ac:dyDescent="0.25">
      <c r="A33" s="195" t="s">
        <v>97</v>
      </c>
      <c r="B33" s="88">
        <v>0</v>
      </c>
      <c r="C33" s="174">
        <v>1102.1366829999999</v>
      </c>
      <c r="D33" s="134">
        <v>44.249440999999997</v>
      </c>
      <c r="E33" s="134">
        <v>4.4349160000000003</v>
      </c>
      <c r="F33" s="134">
        <v>1.1424970000000001</v>
      </c>
      <c r="G33" s="134">
        <f>60/E33</f>
        <v>13.529004833462459</v>
      </c>
      <c r="H33" s="134">
        <v>2.4343703703999999</v>
      </c>
      <c r="I33" s="134">
        <v>1.790375</v>
      </c>
      <c r="J33" s="134">
        <v>1.3596985940999999</v>
      </c>
      <c r="K33" s="134">
        <v>41.9</v>
      </c>
      <c r="L33" s="134">
        <v>0.44475999999999999</v>
      </c>
      <c r="M33" s="134">
        <v>0</v>
      </c>
      <c r="N33" s="134">
        <v>0.30530000000000002</v>
      </c>
      <c r="O33" s="134">
        <v>7.5270000000000004E-2</v>
      </c>
      <c r="P33" s="134">
        <v>7.5259999999999994E-2</v>
      </c>
      <c r="Q33" s="134">
        <v>1.0000000000000001E-5</v>
      </c>
      <c r="R33" s="134">
        <v>0</v>
      </c>
      <c r="S33" s="134">
        <v>0</v>
      </c>
      <c r="T33" s="134">
        <v>0.26634000000000002</v>
      </c>
      <c r="U33" s="134">
        <v>0</v>
      </c>
      <c r="V33" s="134">
        <v>0.23446</v>
      </c>
      <c r="W33" s="134">
        <v>0.14662</v>
      </c>
      <c r="X33" s="134">
        <v>0.24712000000000001</v>
      </c>
      <c r="Y33" s="134">
        <v>4.4200000000000003E-3</v>
      </c>
      <c r="Z33" s="134">
        <v>1.1000000000000001E-3</v>
      </c>
      <c r="AA33" s="134">
        <v>5.5000000000000003E-4</v>
      </c>
      <c r="AB33" s="134">
        <v>0.55174999999999996</v>
      </c>
      <c r="AC33" s="134">
        <v>0.68118999999999996</v>
      </c>
      <c r="AD33" s="134">
        <v>0.59897999999999996</v>
      </c>
      <c r="AE33" s="134">
        <v>0.55942000000000003</v>
      </c>
      <c r="AF33" s="134">
        <v>-0.30858999999999998</v>
      </c>
      <c r="AG33" s="134">
        <v>-1.890909</v>
      </c>
      <c r="AH33" s="134">
        <v>0.69944399999999995</v>
      </c>
      <c r="AI33" s="134">
        <v>0.68314200000000003</v>
      </c>
      <c r="AJ33" s="134">
        <v>3.2171999999999999E-2</v>
      </c>
      <c r="AK33" s="134">
        <v>0.456094</v>
      </c>
    </row>
    <row r="34" spans="1:37" x14ac:dyDescent="0.25">
      <c r="A34" s="195" t="s">
        <v>98</v>
      </c>
      <c r="B34" s="88">
        <v>0</v>
      </c>
      <c r="C34" s="174">
        <v>1143.197768</v>
      </c>
      <c r="D34" s="134">
        <v>164.23871800000001</v>
      </c>
      <c r="E34" s="134">
        <v>6.9205399999999999</v>
      </c>
      <c r="F34" s="134">
        <v>1.9000999999999999</v>
      </c>
      <c r="G34" s="134">
        <f>60/E34</f>
        <v>8.6698436827184011</v>
      </c>
      <c r="H34" s="134">
        <v>3.1355142856999998</v>
      </c>
      <c r="I34" s="134">
        <v>3.3306428571</v>
      </c>
      <c r="J34" s="134">
        <v>0.94141414140000002</v>
      </c>
      <c r="K34" s="134">
        <v>56.87</v>
      </c>
      <c r="L34" s="134">
        <v>0.43151</v>
      </c>
      <c r="M34" s="134">
        <v>0</v>
      </c>
      <c r="N34" s="134">
        <v>0.39151999999999998</v>
      </c>
      <c r="O34" s="134">
        <v>4.4389999999999999E-2</v>
      </c>
      <c r="P34" s="134">
        <v>4.4389999999999999E-2</v>
      </c>
      <c r="Q34" s="134">
        <v>0</v>
      </c>
      <c r="R34" s="134">
        <v>0</v>
      </c>
      <c r="S34" s="134">
        <v>0</v>
      </c>
      <c r="T34" s="134">
        <v>0.37320999999999999</v>
      </c>
      <c r="U34" s="134">
        <v>0</v>
      </c>
      <c r="V34" s="134">
        <v>0.29558000000000001</v>
      </c>
      <c r="W34" s="134">
        <v>7.6020000000000004E-2</v>
      </c>
      <c r="X34" s="134">
        <v>0.16533</v>
      </c>
      <c r="Y34" s="134">
        <v>5.5999999999999995E-4</v>
      </c>
      <c r="Z34" s="134">
        <v>5.5000000000000003E-4</v>
      </c>
      <c r="AA34" s="134">
        <v>5.5000000000000003E-4</v>
      </c>
      <c r="AB34" s="134">
        <v>0.49258999999999997</v>
      </c>
      <c r="AC34" s="134">
        <v>0.60416999999999998</v>
      </c>
      <c r="AD34" s="134">
        <v>0.53308</v>
      </c>
      <c r="AE34" s="134">
        <v>0.49347999999999997</v>
      </c>
      <c r="AF34" s="134">
        <v>-0.32841999999999999</v>
      </c>
      <c r="AG34" s="134">
        <v>-1.9090910000000001</v>
      </c>
      <c r="AH34" s="134">
        <v>0.54115800000000003</v>
      </c>
      <c r="AI34" s="134">
        <v>0.63783400000000001</v>
      </c>
      <c r="AJ34" s="134">
        <v>2.2918000000000001E-2</v>
      </c>
      <c r="AK34" s="134">
        <v>0.33398800000000001</v>
      </c>
    </row>
    <row r="35" spans="1:37" x14ac:dyDescent="0.25">
      <c r="A35" s="195" t="s">
        <v>101</v>
      </c>
      <c r="B35" s="88">
        <v>0</v>
      </c>
      <c r="C35" s="174">
        <v>1124.446805</v>
      </c>
      <c r="D35" s="134">
        <v>72.237993000000003</v>
      </c>
      <c r="E35" s="134">
        <v>3.4432909999999999</v>
      </c>
      <c r="F35" s="134">
        <v>0.63617800000000002</v>
      </c>
      <c r="G35" s="134">
        <f>60/E35</f>
        <v>17.425190028957761</v>
      </c>
      <c r="H35" s="134">
        <v>1.4890786517000001</v>
      </c>
      <c r="I35" s="134">
        <v>1.9072621723000001</v>
      </c>
      <c r="J35" s="134">
        <v>0.78074145930000005</v>
      </c>
      <c r="K35" s="134">
        <v>55.87</v>
      </c>
      <c r="L35" s="134">
        <v>0.44492999999999999</v>
      </c>
      <c r="M35" s="134">
        <v>0</v>
      </c>
      <c r="N35" s="134">
        <v>0.23805000000000001</v>
      </c>
      <c r="O35" s="134">
        <v>9.7919999999999993E-2</v>
      </c>
      <c r="P35" s="134">
        <v>9.7919999999999993E-2</v>
      </c>
      <c r="Q35" s="134">
        <v>0</v>
      </c>
      <c r="R35" s="134">
        <v>0</v>
      </c>
      <c r="S35" s="134">
        <v>0</v>
      </c>
      <c r="T35" s="134">
        <v>0.22974</v>
      </c>
      <c r="U35" s="134">
        <v>0</v>
      </c>
      <c r="V35" s="134">
        <v>0.17715</v>
      </c>
      <c r="W35" s="134">
        <v>0.17427000000000001</v>
      </c>
      <c r="X35" s="134">
        <v>0.29544999999999999</v>
      </c>
      <c r="Y35" s="134">
        <v>1.66E-3</v>
      </c>
      <c r="Z35" s="134">
        <v>0</v>
      </c>
      <c r="AA35" s="134">
        <v>5.5000000000000003E-4</v>
      </c>
      <c r="AB35" s="134">
        <v>0.54142000000000001</v>
      </c>
      <c r="AC35" s="134">
        <v>0.64666000000000001</v>
      </c>
      <c r="AD35" s="134">
        <v>0.61490999999999996</v>
      </c>
      <c r="AE35" s="134">
        <v>0.56135999999999997</v>
      </c>
      <c r="AF35" s="134">
        <v>-0.28963</v>
      </c>
      <c r="AG35" s="134">
        <v>-1.9818180000000001</v>
      </c>
      <c r="AH35" s="134">
        <v>0.75173999999999996</v>
      </c>
      <c r="AI35" s="134">
        <v>0.73559699999999995</v>
      </c>
      <c r="AJ35" s="134">
        <v>1.9269000000000001E-2</v>
      </c>
      <c r="AK35" s="134">
        <v>0.439475</v>
      </c>
    </row>
    <row r="36" spans="1:37" x14ac:dyDescent="0.25">
      <c r="A36" s="195" t="s">
        <v>103</v>
      </c>
      <c r="B36" s="88">
        <v>0</v>
      </c>
      <c r="C36" s="174">
        <v>998.22564199999999</v>
      </c>
      <c r="D36" s="134">
        <v>33.059004000000002</v>
      </c>
      <c r="E36" s="134">
        <v>4.7788399999999998</v>
      </c>
      <c r="F36" s="134">
        <v>1.3663099999999999</v>
      </c>
      <c r="G36" s="134">
        <f>60/E36</f>
        <v>12.555348159804472</v>
      </c>
      <c r="H36" s="134">
        <v>2.4337821782</v>
      </c>
      <c r="I36" s="134">
        <v>1.9333762376000001</v>
      </c>
      <c r="J36" s="134">
        <v>1.2588249150999999</v>
      </c>
      <c r="K36" s="134">
        <v>31.11</v>
      </c>
      <c r="L36" s="134">
        <v>0.40160000000000001</v>
      </c>
      <c r="M36" s="134">
        <v>0</v>
      </c>
      <c r="N36" s="134">
        <v>0.35694999999999999</v>
      </c>
      <c r="O36" s="134">
        <v>7.8409999999999994E-2</v>
      </c>
      <c r="P36" s="134">
        <v>7.2770000000000001E-2</v>
      </c>
      <c r="Q36" s="134">
        <v>3.9500000000000004E-3</v>
      </c>
      <c r="R36" s="134">
        <v>0</v>
      </c>
      <c r="S36" s="134">
        <v>0</v>
      </c>
      <c r="T36" s="134">
        <v>0.25209999999999999</v>
      </c>
      <c r="U36" s="134">
        <v>5.5999999999999995E-4</v>
      </c>
      <c r="V36" s="134">
        <v>0.25884000000000001</v>
      </c>
      <c r="W36" s="134">
        <v>0.14384</v>
      </c>
      <c r="X36" s="134">
        <v>0.24256</v>
      </c>
      <c r="Y36" s="134">
        <v>1.24E-2</v>
      </c>
      <c r="Z36" s="134">
        <v>2.2499999999999998E-3</v>
      </c>
      <c r="AA36" s="134">
        <v>1.1299999999999999E-3</v>
      </c>
      <c r="AB36" s="134">
        <v>0.57115000000000005</v>
      </c>
      <c r="AC36" s="134">
        <v>0.72677000000000003</v>
      </c>
      <c r="AD36" s="134">
        <v>0.59604000000000001</v>
      </c>
      <c r="AE36" s="134">
        <v>0.55132000000000003</v>
      </c>
      <c r="AF36" s="134">
        <v>-0.49525999999999998</v>
      </c>
      <c r="AG36" s="134">
        <v>-1.3636360000000001</v>
      </c>
      <c r="AH36" s="134">
        <v>0.65427400000000002</v>
      </c>
      <c r="AI36" s="134">
        <v>0.64059600000000005</v>
      </c>
      <c r="AJ36" s="134">
        <v>5.1464000000000003E-2</v>
      </c>
      <c r="AK36" s="134">
        <v>0.24740599999999999</v>
      </c>
    </row>
    <row r="37" spans="1:37" x14ac:dyDescent="0.25">
      <c r="A37" s="195" t="s">
        <v>106</v>
      </c>
      <c r="B37" s="88">
        <v>0</v>
      </c>
      <c r="C37" s="174">
        <v>882.86536000000001</v>
      </c>
      <c r="D37" s="134">
        <v>121.254099</v>
      </c>
      <c r="E37" s="134">
        <v>3.37995</v>
      </c>
      <c r="F37" s="134">
        <v>1.0846420000000001</v>
      </c>
      <c r="G37" s="134">
        <f>60/E37</f>
        <v>17.751741889672925</v>
      </c>
      <c r="H37" s="134">
        <v>4.9242021277000001</v>
      </c>
      <c r="I37" s="134">
        <v>1.7162978723</v>
      </c>
      <c r="J37" s="134">
        <v>2.8690836287999999</v>
      </c>
      <c r="K37" s="134">
        <v>44.85</v>
      </c>
      <c r="L37" s="134">
        <v>0.37074000000000001</v>
      </c>
      <c r="M37" s="134">
        <v>1.1000000000000001E-3</v>
      </c>
      <c r="N37" s="134">
        <v>0.31991000000000003</v>
      </c>
      <c r="O37" s="134">
        <v>0.11047999999999999</v>
      </c>
      <c r="P37" s="134">
        <v>0.10274999999999999</v>
      </c>
      <c r="Q37" s="134">
        <v>1.1599999999999999E-2</v>
      </c>
      <c r="R37" s="134">
        <v>0</v>
      </c>
      <c r="S37" s="134">
        <v>0</v>
      </c>
      <c r="T37" s="134">
        <v>0.26850000000000002</v>
      </c>
      <c r="U37" s="134">
        <v>0</v>
      </c>
      <c r="V37" s="134">
        <v>0.23482</v>
      </c>
      <c r="W37" s="134">
        <v>0.14088999999999999</v>
      </c>
      <c r="X37" s="134">
        <v>0.23150000000000001</v>
      </c>
      <c r="Y37" s="134">
        <v>3.9210000000000002E-2</v>
      </c>
      <c r="Z37" s="134">
        <v>1.1100000000000001E-3</v>
      </c>
      <c r="AA37" s="134">
        <v>5.5000000000000003E-4</v>
      </c>
      <c r="AB37" s="134">
        <v>0.61775000000000002</v>
      </c>
      <c r="AC37" s="134">
        <v>0.74280999999999997</v>
      </c>
      <c r="AD37" s="134">
        <v>0.64609000000000005</v>
      </c>
      <c r="AE37" s="134">
        <v>0.59824999999999995</v>
      </c>
      <c r="AF37" s="134">
        <v>-0.21711</v>
      </c>
      <c r="AG37" s="134">
        <v>-0.92727300000000001</v>
      </c>
      <c r="AH37" s="134">
        <v>0.74235099999999998</v>
      </c>
      <c r="AI37" s="134">
        <v>0.631602</v>
      </c>
      <c r="AJ37" s="134">
        <v>7.5922000000000003E-2</v>
      </c>
      <c r="AK37" s="134">
        <v>0.19567000000000001</v>
      </c>
    </row>
    <row r="38" spans="1:37" x14ac:dyDescent="0.25">
      <c r="A38" s="195" t="s">
        <v>107</v>
      </c>
      <c r="B38" s="88">
        <v>0</v>
      </c>
      <c r="C38" s="174">
        <v>934.68735700000002</v>
      </c>
      <c r="D38" s="134">
        <v>48.118740000000003</v>
      </c>
      <c r="E38" s="134">
        <v>3.3248859999999998</v>
      </c>
      <c r="F38" s="134">
        <v>1.1243529999999999</v>
      </c>
      <c r="G38" s="134">
        <f>60/E38</f>
        <v>18.045731492748924</v>
      </c>
      <c r="H38" s="134">
        <v>1.4727430556000001</v>
      </c>
      <c r="I38" s="134">
        <v>1.6726006944</v>
      </c>
      <c r="J38" s="134">
        <v>0.8805108478</v>
      </c>
      <c r="K38" s="134">
        <v>45.54</v>
      </c>
      <c r="L38" s="134">
        <v>0.45308999999999999</v>
      </c>
      <c r="M38" s="134">
        <v>0</v>
      </c>
      <c r="N38" s="134">
        <v>0.27179999999999999</v>
      </c>
      <c r="O38" s="134">
        <v>9.7070000000000004E-2</v>
      </c>
      <c r="P38" s="134">
        <v>9.7059999999999994E-2</v>
      </c>
      <c r="Q38" s="134">
        <v>1.0000000000000001E-5</v>
      </c>
      <c r="R38" s="134">
        <v>0</v>
      </c>
      <c r="S38" s="134">
        <v>0</v>
      </c>
      <c r="T38" s="134">
        <v>0.28341</v>
      </c>
      <c r="U38" s="134">
        <v>0</v>
      </c>
      <c r="V38" s="134">
        <v>0.26399</v>
      </c>
      <c r="W38" s="134">
        <v>0.12923999999999999</v>
      </c>
      <c r="X38" s="134">
        <v>0.21077000000000001</v>
      </c>
      <c r="Y38" s="134">
        <v>2.6069999999999999E-2</v>
      </c>
      <c r="Z38" s="134">
        <v>2.2200000000000002E-3</v>
      </c>
      <c r="AA38" s="134">
        <v>3.3300000000000001E-3</v>
      </c>
      <c r="AB38" s="134">
        <v>0.59153</v>
      </c>
      <c r="AC38" s="134">
        <v>0.72375999999999996</v>
      </c>
      <c r="AD38" s="134">
        <v>0.61102999999999996</v>
      </c>
      <c r="AE38" s="134">
        <v>0.55652999999999997</v>
      </c>
      <c r="AF38" s="134">
        <v>-0.28333000000000003</v>
      </c>
      <c r="AG38" s="134">
        <v>-1.745455</v>
      </c>
      <c r="AH38" s="134">
        <v>0.62517100000000003</v>
      </c>
      <c r="AI38" s="134">
        <v>0.64399200000000001</v>
      </c>
      <c r="AJ38" s="134">
        <v>4.1866E-2</v>
      </c>
      <c r="AK38" s="134">
        <v>0.335953</v>
      </c>
    </row>
    <row r="39" spans="1:37" x14ac:dyDescent="0.25">
      <c r="A39" s="195" t="s">
        <v>108</v>
      </c>
      <c r="B39" s="88">
        <v>0</v>
      </c>
      <c r="C39" s="174">
        <v>922.53452300000004</v>
      </c>
      <c r="D39" s="134">
        <v>87.447970999999995</v>
      </c>
      <c r="E39" s="134">
        <v>3.5161570000000002</v>
      </c>
      <c r="F39" s="134">
        <v>0.66469500000000004</v>
      </c>
      <c r="G39" s="134">
        <f>60/E39</f>
        <v>17.064084453566778</v>
      </c>
      <c r="H39" s="134">
        <v>1.7855584905999999</v>
      </c>
      <c r="I39" s="134">
        <v>1.6454566038</v>
      </c>
      <c r="J39" s="134">
        <v>1.0851446866000001</v>
      </c>
      <c r="K39" s="134">
        <v>66.760000000000005</v>
      </c>
      <c r="L39" s="134">
        <v>0.37945000000000001</v>
      </c>
      <c r="M39" s="134">
        <v>0</v>
      </c>
      <c r="N39" s="134">
        <v>0.29624</v>
      </c>
      <c r="O39" s="134">
        <v>9.6920000000000006E-2</v>
      </c>
      <c r="P39" s="134">
        <v>9.6920000000000006E-2</v>
      </c>
      <c r="Q39" s="134">
        <v>0</v>
      </c>
      <c r="R39" s="134">
        <v>0</v>
      </c>
      <c r="S39" s="134">
        <v>0</v>
      </c>
      <c r="T39" s="134">
        <v>0.14599999999999999</v>
      </c>
      <c r="U39" s="134">
        <v>0</v>
      </c>
      <c r="V39" s="134">
        <v>0.15039</v>
      </c>
      <c r="W39" s="134">
        <v>0.15912000000000001</v>
      </c>
      <c r="X39" s="134">
        <v>0.29236000000000001</v>
      </c>
      <c r="Y39" s="134">
        <v>0.11724</v>
      </c>
      <c r="Z39" s="134">
        <v>2.2000000000000001E-3</v>
      </c>
      <c r="AA39" s="134">
        <v>2.2000000000000001E-3</v>
      </c>
      <c r="AB39" s="134">
        <v>0.59140999999999999</v>
      </c>
      <c r="AC39" s="134">
        <v>0.71421000000000001</v>
      </c>
      <c r="AD39" s="134">
        <v>0.66873000000000005</v>
      </c>
      <c r="AE39" s="134">
        <v>0.60206000000000004</v>
      </c>
      <c r="AF39" s="134">
        <v>-0.24684</v>
      </c>
      <c r="AG39" s="134">
        <v>-1.927273</v>
      </c>
      <c r="AH39" s="134">
        <v>0.87172499999999997</v>
      </c>
      <c r="AI39" s="134">
        <v>0.72193499999999999</v>
      </c>
      <c r="AJ39" s="134">
        <v>2.4537E-2</v>
      </c>
      <c r="AK39" s="134">
        <v>0.43037199999999998</v>
      </c>
    </row>
    <row r="40" spans="1:37" x14ac:dyDescent="0.25">
      <c r="A40" s="195" t="s">
        <v>140</v>
      </c>
      <c r="B40" s="88">
        <v>0</v>
      </c>
      <c r="C40" s="174">
        <v>874.31957999999997</v>
      </c>
      <c r="D40" s="134">
        <v>67.130504999999999</v>
      </c>
      <c r="E40" s="134">
        <v>2.9649359999999998</v>
      </c>
      <c r="F40" s="134">
        <v>0.51017599999999996</v>
      </c>
      <c r="G40" s="134">
        <f>60/E40</f>
        <v>20.236524498336561</v>
      </c>
      <c r="H40" s="134">
        <v>1.2662688525000001</v>
      </c>
      <c r="I40" s="134">
        <v>1.6561737704999999</v>
      </c>
      <c r="J40" s="134">
        <v>0.76457487430000004</v>
      </c>
      <c r="K40" s="134">
        <v>86.71</v>
      </c>
      <c r="L40" s="134">
        <v>0.39550000000000002</v>
      </c>
      <c r="M40" s="134">
        <v>1.6800000000000001E-3</v>
      </c>
      <c r="N40" s="134">
        <v>0.23374</v>
      </c>
      <c r="O40" s="134">
        <v>0.11852</v>
      </c>
      <c r="P40" s="134">
        <v>0.1174</v>
      </c>
      <c r="Q40" s="134">
        <v>1.6800000000000001E-3</v>
      </c>
      <c r="R40" s="134">
        <v>0</v>
      </c>
      <c r="S40" s="134">
        <v>0</v>
      </c>
      <c r="T40" s="134">
        <v>0.16631000000000001</v>
      </c>
      <c r="U40" s="134">
        <v>0</v>
      </c>
      <c r="V40" s="134">
        <v>0.19048000000000001</v>
      </c>
      <c r="W40" s="134">
        <v>0.18312</v>
      </c>
      <c r="X40" s="134">
        <v>0.30952000000000002</v>
      </c>
      <c r="Y40" s="134">
        <v>1.797E-2</v>
      </c>
      <c r="Z40" s="134">
        <v>1.1199999999999999E-3</v>
      </c>
      <c r="AA40" s="134">
        <v>0</v>
      </c>
      <c r="AB40" s="134">
        <v>0.55439000000000005</v>
      </c>
      <c r="AC40" s="134">
        <v>0.69271000000000005</v>
      </c>
      <c r="AD40" s="134">
        <v>0.62461999999999995</v>
      </c>
      <c r="AE40" s="134">
        <v>0.55784</v>
      </c>
      <c r="AF40" s="134">
        <v>-0.24786</v>
      </c>
      <c r="AG40" s="134">
        <v>-1.763636</v>
      </c>
      <c r="AH40" s="134">
        <v>0.76096900000000001</v>
      </c>
      <c r="AI40" s="134">
        <v>0.73673500000000003</v>
      </c>
      <c r="AJ40" s="134">
        <v>3.9063000000000001E-2</v>
      </c>
      <c r="AK40" s="134">
        <v>0.61341100000000004</v>
      </c>
    </row>
    <row r="41" spans="1:37" x14ac:dyDescent="0.25">
      <c r="A41" s="195" t="s">
        <v>111</v>
      </c>
      <c r="B41" s="88">
        <v>0</v>
      </c>
      <c r="C41" s="174">
        <v>804.65166299999999</v>
      </c>
      <c r="D41" s="134">
        <v>58.653506</v>
      </c>
      <c r="E41" s="134">
        <v>3.1086049999999998</v>
      </c>
      <c r="F41" s="134">
        <v>0.56707399999999997</v>
      </c>
      <c r="G41" s="134">
        <f>60/E41</f>
        <v>19.301262141700217</v>
      </c>
      <c r="H41" s="134">
        <v>1.4169867110000001</v>
      </c>
      <c r="I41" s="134">
        <v>1.6195714286</v>
      </c>
      <c r="J41" s="134">
        <v>0.87491461380000002</v>
      </c>
      <c r="K41" s="134">
        <v>72.64</v>
      </c>
      <c r="L41" s="134">
        <v>0.42376999999999998</v>
      </c>
      <c r="M41" s="134">
        <v>0</v>
      </c>
      <c r="N41" s="134">
        <v>0.25330999999999998</v>
      </c>
      <c r="O41" s="134">
        <v>0.10581</v>
      </c>
      <c r="P41" s="134">
        <v>0.10581</v>
      </c>
      <c r="Q41" s="134">
        <v>1.1000000000000001E-3</v>
      </c>
      <c r="R41" s="134">
        <v>0</v>
      </c>
      <c r="S41" s="134">
        <v>0</v>
      </c>
      <c r="T41" s="134">
        <v>0.21651999999999999</v>
      </c>
      <c r="U41" s="134">
        <v>0</v>
      </c>
      <c r="V41" s="134">
        <v>0.21597</v>
      </c>
      <c r="W41" s="134">
        <v>0.16064000000000001</v>
      </c>
      <c r="X41" s="134">
        <v>0.27194000000000002</v>
      </c>
      <c r="Y41" s="134">
        <v>2.198E-2</v>
      </c>
      <c r="Z41" s="134">
        <v>1.65E-3</v>
      </c>
      <c r="AA41" s="134">
        <v>1.1000000000000001E-3</v>
      </c>
      <c r="AB41" s="134">
        <v>0.56910000000000005</v>
      </c>
      <c r="AC41" s="134">
        <v>0.70345000000000002</v>
      </c>
      <c r="AD41" s="134">
        <v>0.62180000000000002</v>
      </c>
      <c r="AE41" s="134">
        <v>0.56294</v>
      </c>
      <c r="AF41" s="134">
        <v>-0.26849000000000001</v>
      </c>
      <c r="AG41" s="134">
        <v>-1.6363639999999999</v>
      </c>
      <c r="AH41" s="134">
        <v>0.73412999999999995</v>
      </c>
      <c r="AI41" s="134">
        <v>0.66126799999999997</v>
      </c>
      <c r="AJ41" s="134">
        <v>6.6478999999999996E-2</v>
      </c>
      <c r="AK41" s="134">
        <v>0.286804</v>
      </c>
    </row>
    <row r="42" spans="1:37" x14ac:dyDescent="0.25">
      <c r="A42" s="195" t="s">
        <v>114</v>
      </c>
      <c r="B42" s="88">
        <v>0</v>
      </c>
      <c r="C42" s="174">
        <v>781.83040700000004</v>
      </c>
      <c r="D42" s="134">
        <v>36.707039000000002</v>
      </c>
      <c r="E42" s="134">
        <v>3.426558</v>
      </c>
      <c r="F42" s="134">
        <v>0.71430199999999999</v>
      </c>
      <c r="G42" s="134">
        <f>60/E42</f>
        <v>17.510282913641035</v>
      </c>
      <c r="H42" s="134">
        <v>1.6040755395999999</v>
      </c>
      <c r="I42" s="134">
        <v>1.6856690647000001</v>
      </c>
      <c r="J42" s="134">
        <v>0.95159576280000002</v>
      </c>
      <c r="K42" s="134">
        <v>34.96</v>
      </c>
      <c r="L42" s="134">
        <v>0.39739000000000002</v>
      </c>
      <c r="M42" s="134">
        <v>1.09E-3</v>
      </c>
      <c r="N42" s="134">
        <v>0.29061999999999999</v>
      </c>
      <c r="O42" s="134">
        <v>9.3060000000000004E-2</v>
      </c>
      <c r="P42" s="134">
        <v>9.5240000000000005E-2</v>
      </c>
      <c r="Q42" s="134">
        <v>0</v>
      </c>
      <c r="R42" s="134">
        <v>0</v>
      </c>
      <c r="S42" s="134">
        <v>0</v>
      </c>
      <c r="T42" s="134">
        <v>0.16642000000000001</v>
      </c>
      <c r="U42" s="134">
        <v>0</v>
      </c>
      <c r="V42" s="134">
        <v>0.23097000000000001</v>
      </c>
      <c r="W42" s="134">
        <v>0.16747999999999999</v>
      </c>
      <c r="X42" s="134">
        <v>0.29609999999999997</v>
      </c>
      <c r="Y42" s="134">
        <v>1.095E-2</v>
      </c>
      <c r="Z42" s="134">
        <v>2.1900000000000001E-3</v>
      </c>
      <c r="AA42" s="134">
        <v>3.2799999999999999E-3</v>
      </c>
      <c r="AB42" s="134">
        <v>0.56105000000000005</v>
      </c>
      <c r="AC42" s="134">
        <v>0.70670999999999995</v>
      </c>
      <c r="AD42" s="134">
        <v>0.62426000000000004</v>
      </c>
      <c r="AE42" s="134">
        <v>0.57074000000000003</v>
      </c>
      <c r="AF42" s="134">
        <v>-0.28434999999999999</v>
      </c>
      <c r="AG42" s="134">
        <v>-1.9818180000000001</v>
      </c>
      <c r="AH42" s="134">
        <v>0.65656499999999995</v>
      </c>
      <c r="AI42" s="134">
        <v>0.74228899999999998</v>
      </c>
      <c r="AJ42" s="134">
        <v>3.1977999999999999E-2</v>
      </c>
      <c r="AK42" s="134">
        <v>0.44444099999999997</v>
      </c>
    </row>
    <row r="43" spans="1:37" x14ac:dyDescent="0.25">
      <c r="A43" s="195" t="s">
        <v>115</v>
      </c>
      <c r="B43" s="88">
        <v>0</v>
      </c>
      <c r="C43" s="174">
        <v>947.58348599999999</v>
      </c>
      <c r="D43" s="134">
        <v>106.265496</v>
      </c>
      <c r="E43" s="134">
        <v>3.3143509999999998</v>
      </c>
      <c r="F43" s="134">
        <v>0.76101200000000002</v>
      </c>
      <c r="G43" s="134">
        <f>60/E43</f>
        <v>18.103091676168276</v>
      </c>
      <c r="H43" s="134">
        <v>1.3896712803</v>
      </c>
      <c r="I43" s="134">
        <v>1.7801072663999999</v>
      </c>
      <c r="J43" s="134">
        <v>0.78066715779999996</v>
      </c>
      <c r="K43" s="134">
        <v>49.07</v>
      </c>
      <c r="L43" s="134">
        <v>0.40841</v>
      </c>
      <c r="M43" s="134">
        <v>0</v>
      </c>
      <c r="N43" s="134">
        <v>0.26628000000000002</v>
      </c>
      <c r="O43" s="134">
        <v>0.1077</v>
      </c>
      <c r="P43" s="134">
        <v>0.10661</v>
      </c>
      <c r="Q43" s="134">
        <v>1.64E-3</v>
      </c>
      <c r="R43" s="134">
        <v>0</v>
      </c>
      <c r="S43" s="134">
        <v>0</v>
      </c>
      <c r="T43" s="134">
        <v>0.24598999999999999</v>
      </c>
      <c r="U43" s="134">
        <v>0</v>
      </c>
      <c r="V43" s="134">
        <v>0.20504</v>
      </c>
      <c r="W43" s="134">
        <v>0.14927000000000001</v>
      </c>
      <c r="X43" s="134">
        <v>0.26628000000000002</v>
      </c>
      <c r="Y43" s="134">
        <v>2.2409999999999999E-2</v>
      </c>
      <c r="Z43" s="134">
        <v>5.5000000000000003E-4</v>
      </c>
      <c r="AA43" s="134">
        <v>1.09E-3</v>
      </c>
      <c r="AB43" s="134">
        <v>0.57545999999999997</v>
      </c>
      <c r="AC43" s="134">
        <v>0.70528000000000002</v>
      </c>
      <c r="AD43" s="134">
        <v>0.63500000000000001</v>
      </c>
      <c r="AE43" s="134">
        <v>0.58716999999999997</v>
      </c>
      <c r="AF43" s="134">
        <v>-0.25944</v>
      </c>
      <c r="AG43" s="134">
        <v>-1.818182</v>
      </c>
      <c r="AH43" s="134">
        <v>0.758409</v>
      </c>
      <c r="AI43" s="134">
        <v>0.72296300000000002</v>
      </c>
      <c r="AJ43" s="134">
        <v>3.3376000000000003E-2</v>
      </c>
      <c r="AK43" s="134">
        <v>0.373473</v>
      </c>
    </row>
    <row r="44" spans="1:37" x14ac:dyDescent="0.25">
      <c r="A44" s="195" t="s">
        <v>117</v>
      </c>
      <c r="B44" s="88">
        <v>0</v>
      </c>
      <c r="C44" s="174">
        <v>736.17836899999998</v>
      </c>
      <c r="D44" s="134">
        <v>28.119358999999999</v>
      </c>
      <c r="E44" s="134">
        <v>2.3019889999999998</v>
      </c>
      <c r="F44" s="134">
        <v>0.26999400000000001</v>
      </c>
      <c r="G44" s="134">
        <f>60/E44</f>
        <v>26.064416467672089</v>
      </c>
      <c r="H44" s="134">
        <v>1.0766476427</v>
      </c>
      <c r="I44" s="134">
        <v>1.2026848635</v>
      </c>
      <c r="J44" s="134">
        <v>0.89520345300000004</v>
      </c>
      <c r="K44" s="134">
        <v>51.91</v>
      </c>
      <c r="L44" s="134">
        <v>0.37495000000000001</v>
      </c>
      <c r="M44" s="134">
        <v>1.6299999999999999E-3</v>
      </c>
      <c r="N44" s="134">
        <v>0.18096999999999999</v>
      </c>
      <c r="O44" s="134">
        <v>0.14276</v>
      </c>
      <c r="P44" s="134">
        <v>0.14166999999999999</v>
      </c>
      <c r="Q44" s="134">
        <v>1.6299999999999999E-3</v>
      </c>
      <c r="R44" s="134">
        <v>0</v>
      </c>
      <c r="S44" s="134">
        <v>0</v>
      </c>
      <c r="T44" s="134">
        <v>5.1880000000000003E-2</v>
      </c>
      <c r="U44" s="134">
        <v>0</v>
      </c>
      <c r="V44" s="134">
        <v>0.11720999999999999</v>
      </c>
      <c r="W44" s="134">
        <v>0.24898999999999999</v>
      </c>
      <c r="X44" s="134">
        <v>0.37705</v>
      </c>
      <c r="Y44" s="134">
        <v>4.8489999999999998E-2</v>
      </c>
      <c r="Z44" s="134">
        <v>0</v>
      </c>
      <c r="AA44" s="134">
        <v>0</v>
      </c>
      <c r="AB44" s="134">
        <v>0.53791999999999995</v>
      </c>
      <c r="AC44" s="134">
        <v>0.6946</v>
      </c>
      <c r="AD44" s="134">
        <v>0.61556</v>
      </c>
      <c r="AE44" s="134">
        <v>0.53063000000000005</v>
      </c>
      <c r="AF44" s="134">
        <v>-0.21112</v>
      </c>
      <c r="AG44" s="134">
        <v>-2</v>
      </c>
      <c r="AH44" s="134">
        <v>0.76264600000000005</v>
      </c>
      <c r="AI44" s="134">
        <v>0.76939599999999997</v>
      </c>
      <c r="AJ44" s="134">
        <v>3.3412999999999998E-2</v>
      </c>
      <c r="AK44" s="134">
        <v>0.67873600000000001</v>
      </c>
    </row>
    <row r="45" spans="1:37" x14ac:dyDescent="0.25">
      <c r="A45" s="195" t="s">
        <v>120</v>
      </c>
      <c r="B45" s="88">
        <v>0</v>
      </c>
      <c r="C45" s="174">
        <v>1080.505692</v>
      </c>
      <c r="D45" s="134">
        <v>136.33114900000001</v>
      </c>
      <c r="E45" s="134">
        <v>8.5782690000000006</v>
      </c>
      <c r="F45" s="134">
        <v>0.98829400000000001</v>
      </c>
      <c r="G45" s="134">
        <f>60/E45</f>
        <v>6.9944181046315981</v>
      </c>
      <c r="H45" s="134">
        <v>3.9069158878999999</v>
      </c>
      <c r="I45" s="134">
        <v>4.5699719626000004</v>
      </c>
      <c r="J45" s="134">
        <v>0.85491025320000003</v>
      </c>
      <c r="K45" s="134">
        <v>78.75</v>
      </c>
      <c r="L45" s="134">
        <v>0.47211999999999998</v>
      </c>
      <c r="M45" s="134">
        <v>0</v>
      </c>
      <c r="N45" s="134">
        <v>0.38666</v>
      </c>
      <c r="O45" s="134">
        <v>3.807E-2</v>
      </c>
      <c r="P45" s="134">
        <v>3.807E-2</v>
      </c>
      <c r="Q45" s="134">
        <v>0</v>
      </c>
      <c r="R45" s="134">
        <v>0</v>
      </c>
      <c r="S45" s="134">
        <v>0</v>
      </c>
      <c r="T45" s="134">
        <v>0.55398999999999998</v>
      </c>
      <c r="U45" s="134">
        <v>0</v>
      </c>
      <c r="V45" s="134">
        <v>0.16250999999999999</v>
      </c>
      <c r="W45" s="134">
        <v>7.1720000000000006E-2</v>
      </c>
      <c r="X45" s="134">
        <v>0.14393</v>
      </c>
      <c r="Y45" s="134">
        <v>2.7799999999999999E-3</v>
      </c>
      <c r="Z45" s="134">
        <v>0</v>
      </c>
      <c r="AA45" s="134">
        <v>0</v>
      </c>
      <c r="AB45" s="134">
        <v>0.46488000000000002</v>
      </c>
      <c r="AC45" s="134">
        <v>0.58250999999999997</v>
      </c>
      <c r="AD45" s="134">
        <v>0.46214</v>
      </c>
      <c r="AE45" s="134">
        <v>0.40014</v>
      </c>
      <c r="AF45" s="134">
        <v>-0.31988</v>
      </c>
      <c r="AG45" s="134">
        <v>-1.9818180000000001</v>
      </c>
      <c r="AH45" s="134">
        <v>0.60278399999999999</v>
      </c>
      <c r="AI45" s="134">
        <v>0.59489599999999998</v>
      </c>
      <c r="AJ45" s="134">
        <v>1.8453000000000001E-2</v>
      </c>
      <c r="AK45" s="134">
        <v>0.26610600000000001</v>
      </c>
    </row>
    <row r="46" spans="1:37" x14ac:dyDescent="0.25">
      <c r="A46" s="195" t="s">
        <v>121</v>
      </c>
      <c r="B46" s="88">
        <v>0</v>
      </c>
      <c r="C46" s="174">
        <v>747.15877899999998</v>
      </c>
      <c r="D46" s="134">
        <v>32.912303000000001</v>
      </c>
      <c r="E46" s="134">
        <v>3.1359689999999998</v>
      </c>
      <c r="F46" s="134">
        <v>0.47545399999999999</v>
      </c>
      <c r="G46" s="134">
        <f>60/E46</f>
        <v>19.132842193274232</v>
      </c>
      <c r="H46" s="134">
        <v>1.5329016949000001</v>
      </c>
      <c r="I46" s="134">
        <v>1.5636067796999999</v>
      </c>
      <c r="J46" s="134">
        <v>0.98036265570000003</v>
      </c>
      <c r="K46" s="134">
        <v>36.590000000000003</v>
      </c>
      <c r="L46" s="134">
        <v>0.39641999999999999</v>
      </c>
      <c r="M46" s="134">
        <v>0</v>
      </c>
      <c r="N46" s="134">
        <v>0.25609999999999999</v>
      </c>
      <c r="O46" s="134">
        <v>0.11125</v>
      </c>
      <c r="P46" s="134">
        <v>0.11125</v>
      </c>
      <c r="Q46" s="134">
        <v>0</v>
      </c>
      <c r="R46" s="134">
        <v>0</v>
      </c>
      <c r="S46" s="134">
        <v>0</v>
      </c>
      <c r="T46" s="134">
        <v>0.11866</v>
      </c>
      <c r="U46" s="134">
        <v>0</v>
      </c>
      <c r="V46" s="134">
        <v>0.22968</v>
      </c>
      <c r="W46" s="134">
        <v>0.17100000000000001</v>
      </c>
      <c r="X46" s="134">
        <v>0.29707</v>
      </c>
      <c r="Y46" s="134">
        <v>5.425E-2</v>
      </c>
      <c r="Z46" s="134">
        <v>2.1900000000000001E-3</v>
      </c>
      <c r="AA46" s="134">
        <v>2.1900000000000001E-3</v>
      </c>
      <c r="AB46" s="134">
        <v>0.56959000000000004</v>
      </c>
      <c r="AC46" s="134">
        <v>0.69881000000000004</v>
      </c>
      <c r="AD46" s="134">
        <v>0.63322999999999996</v>
      </c>
      <c r="AE46" s="134">
        <v>0.57094</v>
      </c>
      <c r="AF46" s="134">
        <v>-0.25913999999999998</v>
      </c>
      <c r="AG46" s="134">
        <v>-1.872727</v>
      </c>
      <c r="AH46" s="134">
        <v>0.74045000000000005</v>
      </c>
      <c r="AI46" s="134">
        <v>0.70702900000000002</v>
      </c>
      <c r="AJ46" s="134">
        <v>3.9685999999999999E-2</v>
      </c>
      <c r="AK46" s="134">
        <v>0.39272299999999999</v>
      </c>
    </row>
    <row r="47" spans="1:37" x14ac:dyDescent="0.25">
      <c r="A47" s="195" t="s">
        <v>123</v>
      </c>
      <c r="B47" s="88">
        <v>0</v>
      </c>
      <c r="C47" s="174">
        <v>817.65382599999998</v>
      </c>
      <c r="D47" s="134">
        <v>47.264574000000003</v>
      </c>
      <c r="E47" s="134">
        <v>4.0549900000000001</v>
      </c>
      <c r="F47" s="134">
        <v>0.60356299999999996</v>
      </c>
      <c r="G47" s="134">
        <f>60/E47</f>
        <v>14.796583961982643</v>
      </c>
      <c r="H47" s="134">
        <v>2.0682775329999998</v>
      </c>
      <c r="I47" s="134">
        <v>1.9286079295</v>
      </c>
      <c r="J47" s="134">
        <v>1.0724199053000001</v>
      </c>
      <c r="K47" s="134">
        <v>74.97</v>
      </c>
      <c r="L47" s="134">
        <v>0.44208999999999998</v>
      </c>
      <c r="M47" s="134">
        <v>0</v>
      </c>
      <c r="N47" s="134">
        <v>0.29876000000000003</v>
      </c>
      <c r="O47" s="134">
        <v>7.8850000000000003E-2</v>
      </c>
      <c r="P47" s="134">
        <v>7.8850000000000003E-2</v>
      </c>
      <c r="Q47" s="134">
        <v>0</v>
      </c>
      <c r="R47" s="134">
        <v>0</v>
      </c>
      <c r="S47" s="134">
        <v>0</v>
      </c>
      <c r="T47" s="134">
        <v>0.221</v>
      </c>
      <c r="U47" s="134">
        <v>0</v>
      </c>
      <c r="V47" s="134">
        <v>0.26239000000000001</v>
      </c>
      <c r="W47" s="134">
        <v>0.15271000000000001</v>
      </c>
      <c r="X47" s="134">
        <v>0.25416</v>
      </c>
      <c r="Y47" s="134">
        <v>6.6400000000000001E-3</v>
      </c>
      <c r="Z47" s="134">
        <v>1.65E-3</v>
      </c>
      <c r="AA47" s="134">
        <v>0</v>
      </c>
      <c r="AB47" s="134">
        <v>0.54722999999999999</v>
      </c>
      <c r="AC47" s="134">
        <v>0.66268000000000005</v>
      </c>
      <c r="AD47" s="134">
        <v>0.59672000000000003</v>
      </c>
      <c r="AE47" s="134">
        <v>0.55095000000000005</v>
      </c>
      <c r="AF47" s="134">
        <v>-0.30590000000000001</v>
      </c>
      <c r="AG47" s="134">
        <v>-1.9454549999999999</v>
      </c>
      <c r="AH47" s="134">
        <v>0.70730099999999996</v>
      </c>
      <c r="AI47" s="134">
        <v>0.66225800000000001</v>
      </c>
      <c r="AJ47" s="134">
        <v>2.5061E-2</v>
      </c>
      <c r="AK47" s="134">
        <v>0.33589400000000003</v>
      </c>
    </row>
    <row r="48" spans="1:37" x14ac:dyDescent="0.25">
      <c r="A48" s="195" t="s">
        <v>124</v>
      </c>
      <c r="B48" s="88">
        <v>0</v>
      </c>
      <c r="C48" s="174">
        <v>838.00415399999997</v>
      </c>
      <c r="D48" s="134">
        <v>43.93186</v>
      </c>
      <c r="E48" s="134">
        <v>3.7875040000000002</v>
      </c>
      <c r="F48" s="134">
        <v>0.58338900000000005</v>
      </c>
      <c r="G48" s="134">
        <f>60/E48</f>
        <v>15.8415674280476</v>
      </c>
      <c r="H48" s="134">
        <v>1.6865000000000001</v>
      </c>
      <c r="I48" s="134">
        <v>2.0302663933999998</v>
      </c>
      <c r="J48" s="134">
        <v>0.83067916870000003</v>
      </c>
      <c r="K48" s="134">
        <v>63.85</v>
      </c>
      <c r="L48" s="134">
        <v>0.39406999999999998</v>
      </c>
      <c r="M48" s="134">
        <v>0</v>
      </c>
      <c r="N48" s="134">
        <v>0.29138999999999998</v>
      </c>
      <c r="O48" s="134">
        <v>9.2710000000000001E-2</v>
      </c>
      <c r="P48" s="134">
        <v>9.2710000000000001E-2</v>
      </c>
      <c r="Q48" s="134">
        <v>0</v>
      </c>
      <c r="R48" s="134">
        <v>0</v>
      </c>
      <c r="S48" s="134">
        <v>0</v>
      </c>
      <c r="T48" s="134">
        <v>0.20585999999999999</v>
      </c>
      <c r="U48" s="134">
        <v>0</v>
      </c>
      <c r="V48" s="134">
        <v>0.25056</v>
      </c>
      <c r="W48" s="134">
        <v>0.13908000000000001</v>
      </c>
      <c r="X48" s="134">
        <v>0.26379000000000002</v>
      </c>
      <c r="Y48" s="134">
        <v>9.3799999999999994E-3</v>
      </c>
      <c r="Z48" s="134">
        <v>5.5000000000000003E-4</v>
      </c>
      <c r="AA48" s="134">
        <v>1.65E-3</v>
      </c>
      <c r="AB48" s="134">
        <v>0.53805999999999998</v>
      </c>
      <c r="AC48" s="134">
        <v>0.66307000000000005</v>
      </c>
      <c r="AD48" s="134">
        <v>0.61419000000000001</v>
      </c>
      <c r="AE48" s="134">
        <v>0.56167999999999996</v>
      </c>
      <c r="AF48" s="134">
        <v>-0.28636</v>
      </c>
      <c r="AG48" s="134">
        <v>-1.9636359999999999</v>
      </c>
      <c r="AH48" s="134">
        <v>0.69311299999999998</v>
      </c>
      <c r="AI48" s="134">
        <v>0.67055699999999996</v>
      </c>
      <c r="AJ48" s="134">
        <v>3.2562000000000001E-2</v>
      </c>
      <c r="AK48" s="134">
        <v>0.344364</v>
      </c>
    </row>
    <row r="49" spans="1:37" x14ac:dyDescent="0.25">
      <c r="A49" s="195" t="s">
        <v>125</v>
      </c>
      <c r="B49" s="88">
        <v>0</v>
      </c>
      <c r="C49" s="174">
        <v>869.85405900000001</v>
      </c>
      <c r="D49" s="134">
        <v>63.151288999999998</v>
      </c>
      <c r="E49" s="134">
        <v>4.8312689999999998</v>
      </c>
      <c r="F49" s="134">
        <v>1.1787989999999999</v>
      </c>
      <c r="G49" s="134">
        <f>60/E49</f>
        <v>12.419097342747838</v>
      </c>
      <c r="H49" s="134">
        <v>6.5662031250000004</v>
      </c>
      <c r="I49" s="134">
        <v>1.9920390625</v>
      </c>
      <c r="J49" s="134">
        <v>3.2962220713999999</v>
      </c>
      <c r="K49" s="134">
        <v>121.87</v>
      </c>
      <c r="L49" s="134">
        <v>0.37662000000000001</v>
      </c>
      <c r="M49" s="134">
        <v>0</v>
      </c>
      <c r="N49" s="134">
        <v>0.38330999999999998</v>
      </c>
      <c r="O49" s="134">
        <v>7.0069999999999993E-2</v>
      </c>
      <c r="P49" s="134">
        <v>7.0069999999999993E-2</v>
      </c>
      <c r="Q49" s="134">
        <v>0</v>
      </c>
      <c r="R49" s="134">
        <v>0</v>
      </c>
      <c r="S49" s="134">
        <v>0</v>
      </c>
      <c r="T49" s="134">
        <v>0.31413999999999997</v>
      </c>
      <c r="U49" s="134">
        <v>0</v>
      </c>
      <c r="V49" s="134">
        <v>0.28088000000000002</v>
      </c>
      <c r="W49" s="134">
        <v>9.1450000000000004E-2</v>
      </c>
      <c r="X49" s="134">
        <v>0.19566</v>
      </c>
      <c r="Y49" s="134">
        <v>1.025E-2</v>
      </c>
      <c r="Z49" s="134">
        <v>3.4099999999999998E-3</v>
      </c>
      <c r="AA49" s="134">
        <v>4.2700000000000004E-3</v>
      </c>
      <c r="AB49" s="134">
        <v>0.54547999999999996</v>
      </c>
      <c r="AC49" s="134">
        <v>0.69586000000000003</v>
      </c>
      <c r="AD49" s="134">
        <v>0.58367999999999998</v>
      </c>
      <c r="AE49" s="134">
        <v>0.53312999999999999</v>
      </c>
      <c r="AF49" s="134">
        <v>-0.29500999999999999</v>
      </c>
      <c r="AG49" s="134">
        <v>-1.5818179999999999</v>
      </c>
      <c r="AH49" s="134">
        <v>0.61958100000000005</v>
      </c>
      <c r="AI49" s="134">
        <v>0.60813600000000001</v>
      </c>
      <c r="AJ49" s="134">
        <v>4.0966000000000002E-2</v>
      </c>
      <c r="AK49" s="134">
        <v>0.33009899999999998</v>
      </c>
    </row>
    <row r="50" spans="1:37" x14ac:dyDescent="0.25">
      <c r="A50" s="195" t="s">
        <v>129</v>
      </c>
      <c r="B50" s="88">
        <v>0</v>
      </c>
      <c r="C50" s="174">
        <v>1028.4761960000001</v>
      </c>
      <c r="D50" s="134">
        <v>93.260328999999999</v>
      </c>
      <c r="E50" s="134">
        <v>4.5679189999999998</v>
      </c>
      <c r="F50" s="134">
        <v>1.04142</v>
      </c>
      <c r="G50" s="134">
        <f>60/E50</f>
        <v>13.135084050308247</v>
      </c>
      <c r="H50" s="134">
        <v>6.6083872549000002</v>
      </c>
      <c r="I50" s="134">
        <v>2.1890686275000002</v>
      </c>
      <c r="J50" s="134">
        <v>3.0188122803000002</v>
      </c>
      <c r="K50" s="134">
        <v>82.78</v>
      </c>
      <c r="L50" s="134">
        <v>0.43697999999999998</v>
      </c>
      <c r="M50" s="134">
        <v>0</v>
      </c>
      <c r="N50" s="134">
        <v>0.30718000000000001</v>
      </c>
      <c r="O50" s="134">
        <v>7.6359999999999997E-2</v>
      </c>
      <c r="P50" s="134">
        <v>7.6359999999999997E-2</v>
      </c>
      <c r="Q50" s="134">
        <v>0</v>
      </c>
      <c r="R50" s="134">
        <v>0</v>
      </c>
      <c r="S50" s="134">
        <v>0</v>
      </c>
      <c r="T50" s="134">
        <v>0.26813999999999999</v>
      </c>
      <c r="U50" s="134">
        <v>0</v>
      </c>
      <c r="V50" s="134">
        <v>0.27424999999999999</v>
      </c>
      <c r="W50" s="134">
        <v>0.12540000000000001</v>
      </c>
      <c r="X50" s="134">
        <v>0.22685</v>
      </c>
      <c r="Y50" s="134">
        <v>1.6800000000000001E-3</v>
      </c>
      <c r="Z50" s="134">
        <v>5.5999999999999995E-4</v>
      </c>
      <c r="AA50" s="134">
        <v>0</v>
      </c>
      <c r="AB50" s="134">
        <v>0.52725</v>
      </c>
      <c r="AC50" s="134">
        <v>0.62575999999999998</v>
      </c>
      <c r="AD50" s="134">
        <v>0.58591000000000004</v>
      </c>
      <c r="AE50" s="134">
        <v>0.54224000000000006</v>
      </c>
      <c r="AF50" s="134">
        <v>-0.30541000000000001</v>
      </c>
      <c r="AG50" s="134">
        <v>-2</v>
      </c>
      <c r="AH50" s="134">
        <v>0.63624800000000004</v>
      </c>
      <c r="AI50" s="134">
        <v>0.71992999999999996</v>
      </c>
      <c r="AJ50" s="134">
        <v>2.1021000000000001E-2</v>
      </c>
      <c r="AK50" s="134">
        <v>0.41957499999999998</v>
      </c>
    </row>
    <row r="51" spans="1:37" x14ac:dyDescent="0.25">
      <c r="A51" s="195" t="s">
        <v>130</v>
      </c>
      <c r="B51" s="88">
        <v>0</v>
      </c>
      <c r="C51" s="174">
        <v>1220.2299330000001</v>
      </c>
      <c r="D51" s="134">
        <v>118.950992</v>
      </c>
      <c r="E51" s="134">
        <v>5.0036880000000004</v>
      </c>
      <c r="F51" s="134">
        <v>0.69336799999999998</v>
      </c>
      <c r="G51" s="134">
        <f>60/E51</f>
        <v>11.991155323833139</v>
      </c>
      <c r="H51" s="134">
        <v>1.7274530387</v>
      </c>
      <c r="I51" s="134">
        <v>3.1855690607999998</v>
      </c>
      <c r="J51" s="134">
        <v>0.54227455309999995</v>
      </c>
      <c r="K51" s="134">
        <v>100.24</v>
      </c>
      <c r="L51" s="134">
        <v>0.44707000000000002</v>
      </c>
      <c r="M51" s="134">
        <v>3.3800000000000002E-3</v>
      </c>
      <c r="N51" s="134">
        <v>0.33838000000000001</v>
      </c>
      <c r="O51" s="134">
        <v>5.688E-2</v>
      </c>
      <c r="P51" s="134">
        <v>5.4629999999999998E-2</v>
      </c>
      <c r="Q51" s="134">
        <v>0</v>
      </c>
      <c r="R51" s="134">
        <v>0</v>
      </c>
      <c r="S51" s="134">
        <v>0</v>
      </c>
      <c r="T51" s="134">
        <v>0.36087000000000002</v>
      </c>
      <c r="U51" s="134">
        <v>0</v>
      </c>
      <c r="V51" s="134">
        <v>0.21793999999999999</v>
      </c>
      <c r="W51" s="134">
        <v>0.10868</v>
      </c>
      <c r="X51" s="134">
        <v>0.20946999999999999</v>
      </c>
      <c r="Y51" s="134">
        <v>3.3800000000000002E-3</v>
      </c>
      <c r="Z51" s="134">
        <v>0</v>
      </c>
      <c r="AA51" s="134">
        <v>0</v>
      </c>
      <c r="AB51" s="134">
        <v>0.51544000000000001</v>
      </c>
      <c r="AC51" s="134">
        <v>0.63729000000000002</v>
      </c>
      <c r="AD51" s="134">
        <v>0.57042999999999999</v>
      </c>
      <c r="AE51" s="134">
        <v>0.53619000000000006</v>
      </c>
      <c r="AF51" s="134">
        <v>-0.32200000000000001</v>
      </c>
      <c r="AG51" s="134">
        <v>-1.9636359999999999</v>
      </c>
      <c r="AH51" s="134">
        <v>0.63849</v>
      </c>
      <c r="AI51" s="134">
        <v>0.67976199999999998</v>
      </c>
      <c r="AJ51" s="134">
        <v>1.8268E-2</v>
      </c>
      <c r="AK51" s="134">
        <v>0.372529</v>
      </c>
    </row>
    <row r="52" spans="1:37" x14ac:dyDescent="0.25">
      <c r="A52" s="195" t="s">
        <v>131</v>
      </c>
      <c r="B52" s="88">
        <v>0</v>
      </c>
      <c r="C52" s="174">
        <v>965.752881</v>
      </c>
      <c r="D52" s="134">
        <v>57.674593999999999</v>
      </c>
      <c r="E52" s="134">
        <v>3.2498040000000001</v>
      </c>
      <c r="F52" s="134">
        <v>0.529613</v>
      </c>
      <c r="G52" s="134">
        <f>60/E52</f>
        <v>18.462651901468519</v>
      </c>
      <c r="H52" s="134">
        <v>1.2935543860000001</v>
      </c>
      <c r="I52" s="134">
        <v>1.9078947368000001</v>
      </c>
      <c r="J52" s="134">
        <v>0.67800091949999997</v>
      </c>
      <c r="K52" s="134">
        <v>73.25</v>
      </c>
      <c r="L52" s="134">
        <v>0.42670000000000002</v>
      </c>
      <c r="M52" s="134">
        <v>0</v>
      </c>
      <c r="N52" s="134">
        <v>0.23563999999999999</v>
      </c>
      <c r="O52" s="134">
        <v>0.10156999999999999</v>
      </c>
      <c r="P52" s="134">
        <v>0.10156999999999999</v>
      </c>
      <c r="Q52" s="134">
        <v>0</v>
      </c>
      <c r="R52" s="134">
        <v>0</v>
      </c>
      <c r="S52" s="134">
        <v>0</v>
      </c>
      <c r="T52" s="134">
        <v>0.14454</v>
      </c>
      <c r="U52" s="134">
        <v>0</v>
      </c>
      <c r="V52" s="134">
        <v>0.23338</v>
      </c>
      <c r="W52" s="134">
        <v>0.17404</v>
      </c>
      <c r="X52" s="134">
        <v>0.31020999999999999</v>
      </c>
      <c r="Y52" s="134">
        <v>2.2000000000000001E-3</v>
      </c>
      <c r="Z52" s="134">
        <v>1.1000000000000001E-3</v>
      </c>
      <c r="AA52" s="134">
        <v>0</v>
      </c>
      <c r="AB52" s="134">
        <v>0.51359999999999995</v>
      </c>
      <c r="AC52" s="134">
        <v>0.62478</v>
      </c>
      <c r="AD52" s="134">
        <v>0.59101999999999999</v>
      </c>
      <c r="AE52" s="134">
        <v>0.53180000000000005</v>
      </c>
      <c r="AF52" s="134">
        <v>-0.28386</v>
      </c>
      <c r="AG52" s="134">
        <v>-1.9818180000000001</v>
      </c>
      <c r="AH52" s="134">
        <v>0.68795099999999998</v>
      </c>
      <c r="AI52" s="134">
        <v>0.83529900000000001</v>
      </c>
      <c r="AJ52" s="134">
        <v>4.1688000000000003E-2</v>
      </c>
      <c r="AK52" s="134">
        <v>0.57448999999999995</v>
      </c>
    </row>
    <row r="53" spans="1:37" x14ac:dyDescent="0.25">
      <c r="A53" s="195" t="s">
        <v>134</v>
      </c>
      <c r="B53" s="88">
        <v>0</v>
      </c>
      <c r="C53" s="174">
        <v>942.09750199999996</v>
      </c>
      <c r="D53" s="134">
        <v>61.728079000000001</v>
      </c>
      <c r="E53" s="134">
        <v>2.80701</v>
      </c>
      <c r="F53" s="134">
        <v>0.29832500000000001</v>
      </c>
      <c r="G53" s="134">
        <f>60/E53</f>
        <v>21.375057445466883</v>
      </c>
      <c r="H53" s="134">
        <v>4.0542774389999998</v>
      </c>
      <c r="I53" s="134">
        <v>1.2609329268</v>
      </c>
      <c r="J53" s="134">
        <v>3.2152998409000002</v>
      </c>
      <c r="K53" s="134">
        <v>84.23</v>
      </c>
      <c r="L53" s="134">
        <v>0.38035000000000002</v>
      </c>
      <c r="M53" s="134">
        <v>0</v>
      </c>
      <c r="N53" s="134">
        <v>0.28631000000000001</v>
      </c>
      <c r="O53" s="134">
        <v>0.11802</v>
      </c>
      <c r="P53" s="134">
        <v>0.11802</v>
      </c>
      <c r="Q53" s="134">
        <v>0</v>
      </c>
      <c r="R53" s="134">
        <v>0</v>
      </c>
      <c r="S53" s="134">
        <v>0</v>
      </c>
      <c r="T53" s="134">
        <v>0.25568000000000002</v>
      </c>
      <c r="U53" s="134">
        <v>0</v>
      </c>
      <c r="V53" s="134">
        <v>0.22241</v>
      </c>
      <c r="W53" s="134">
        <v>0.14319000000000001</v>
      </c>
      <c r="X53" s="134">
        <v>0.25741000000000003</v>
      </c>
      <c r="Y53" s="134">
        <v>2.2939999999999999E-2</v>
      </c>
      <c r="Z53" s="134">
        <v>5.5000000000000003E-4</v>
      </c>
      <c r="AA53" s="134">
        <v>5.5000000000000003E-4</v>
      </c>
      <c r="AB53" s="134">
        <v>0.59319</v>
      </c>
      <c r="AC53" s="134">
        <v>0.69284999999999997</v>
      </c>
      <c r="AD53" s="134">
        <v>0.64512000000000003</v>
      </c>
      <c r="AE53" s="134">
        <v>0.60113000000000005</v>
      </c>
      <c r="AF53" s="134">
        <v>-0.26823999999999998</v>
      </c>
      <c r="AG53" s="134">
        <v>-1.236364</v>
      </c>
      <c r="AH53" s="134">
        <v>0.70033699999999999</v>
      </c>
      <c r="AI53" s="134">
        <v>0.63379399999999997</v>
      </c>
      <c r="AJ53" s="134">
        <v>7.5538999999999995E-2</v>
      </c>
      <c r="AK53" s="134">
        <v>0.23103199999999999</v>
      </c>
    </row>
    <row r="54" spans="1:37" x14ac:dyDescent="0.25">
      <c r="A54" s="195" t="s">
        <v>141</v>
      </c>
      <c r="B54" s="88">
        <v>0</v>
      </c>
      <c r="C54" s="174">
        <v>860.92829099999994</v>
      </c>
      <c r="D54" s="134">
        <v>69.584952999999999</v>
      </c>
      <c r="E54" s="134">
        <v>3.864344</v>
      </c>
      <c r="F54" s="134">
        <v>1.0977269999999999</v>
      </c>
      <c r="G54" s="134">
        <f>60/E54</f>
        <v>15.526568028105158</v>
      </c>
      <c r="H54" s="134">
        <v>2.2274220532000002</v>
      </c>
      <c r="I54" s="134">
        <v>1.4849923953999999</v>
      </c>
      <c r="J54" s="134">
        <v>1.4999551917</v>
      </c>
      <c r="K54" s="134">
        <v>91.69</v>
      </c>
      <c r="L54" s="134">
        <v>0.29153000000000001</v>
      </c>
      <c r="M54" s="134">
        <v>9.0900000000000009E-3</v>
      </c>
      <c r="N54" s="134">
        <v>0.34258</v>
      </c>
      <c r="O54" s="134">
        <v>0.12726999999999999</v>
      </c>
      <c r="P54" s="134">
        <v>9.5469999999999999E-2</v>
      </c>
      <c r="Q54" s="134">
        <v>2.044E-2</v>
      </c>
      <c r="R54" s="134">
        <v>0</v>
      </c>
      <c r="S54" s="134">
        <v>0</v>
      </c>
      <c r="T54" s="134">
        <v>0.23921000000000001</v>
      </c>
      <c r="U54" s="134">
        <v>0</v>
      </c>
      <c r="V54" s="134">
        <v>0.23465</v>
      </c>
      <c r="W54" s="134">
        <v>0.13522999999999999</v>
      </c>
      <c r="X54" s="134">
        <v>0.25170999999999999</v>
      </c>
      <c r="Y54" s="134">
        <v>2.2159999999999999E-2</v>
      </c>
      <c r="Z54" s="134">
        <v>2.2699999999999999E-3</v>
      </c>
      <c r="AA54" s="134">
        <v>1.14E-3</v>
      </c>
      <c r="AB54" s="134">
        <v>0.61151999999999995</v>
      </c>
      <c r="AC54" s="134">
        <v>0.76936000000000004</v>
      </c>
      <c r="AD54" s="134">
        <v>0.65829000000000004</v>
      </c>
      <c r="AE54" s="134">
        <v>0.59652000000000005</v>
      </c>
      <c r="AF54" s="134">
        <v>-0.15439</v>
      </c>
      <c r="AG54" s="134">
        <v>-0.76363599999999998</v>
      </c>
      <c r="AH54" s="134">
        <v>0.69494299999999998</v>
      </c>
      <c r="AI54" s="134">
        <v>0.60012100000000002</v>
      </c>
      <c r="AJ54" s="134">
        <v>7.5414999999999996E-2</v>
      </c>
      <c r="AK54" s="134">
        <v>0.16758300000000001</v>
      </c>
    </row>
    <row r="55" spans="1:37" x14ac:dyDescent="0.25">
      <c r="A55" s="195" t="s">
        <v>142</v>
      </c>
      <c r="B55" s="88">
        <v>0</v>
      </c>
      <c r="C55" s="174">
        <v>875.25832000000003</v>
      </c>
      <c r="D55" s="134">
        <v>30.027249000000001</v>
      </c>
      <c r="E55" s="134">
        <v>3.1424259999999999</v>
      </c>
      <c r="F55" s="134">
        <v>0.39537499999999998</v>
      </c>
      <c r="G55" s="134">
        <f>60/E55</f>
        <v>19.093528375847196</v>
      </c>
      <c r="H55" s="134">
        <v>5.1026280701999998</v>
      </c>
      <c r="I55" s="134">
        <v>1.9965263158</v>
      </c>
      <c r="J55" s="134">
        <v>2.5557529744999998</v>
      </c>
      <c r="K55" s="134">
        <v>87.34</v>
      </c>
      <c r="L55" s="134">
        <v>0.42962</v>
      </c>
      <c r="M55" s="134">
        <v>1.0000000000000001E-5</v>
      </c>
      <c r="N55" s="134">
        <v>0.23044000000000001</v>
      </c>
      <c r="O55" s="134">
        <v>9.9390000000000006E-2</v>
      </c>
      <c r="P55" s="134">
        <v>9.9379999999999996E-2</v>
      </c>
      <c r="Q55" s="134">
        <v>1.0000000000000001E-5</v>
      </c>
      <c r="R55" s="134">
        <v>0</v>
      </c>
      <c r="S55" s="134">
        <v>0</v>
      </c>
      <c r="T55" s="134">
        <v>0.17959</v>
      </c>
      <c r="U55" s="134">
        <v>0</v>
      </c>
      <c r="V55" s="134">
        <v>0.16097</v>
      </c>
      <c r="W55" s="134">
        <v>0.18065999999999999</v>
      </c>
      <c r="X55" s="134">
        <v>0.32519999999999999</v>
      </c>
      <c r="Y55" s="134">
        <v>9.0399999999999994E-3</v>
      </c>
      <c r="Z55" s="134">
        <v>2.2599999999999999E-3</v>
      </c>
      <c r="AA55" s="134">
        <v>1.1299999999999999E-3</v>
      </c>
      <c r="AB55" s="134">
        <v>0.53303999999999996</v>
      </c>
      <c r="AC55" s="134">
        <v>0.67520000000000002</v>
      </c>
      <c r="AD55" s="134">
        <v>0.61375000000000002</v>
      </c>
      <c r="AE55" s="134">
        <v>0.54349999999999998</v>
      </c>
      <c r="AF55" s="134">
        <v>-0.27894999999999998</v>
      </c>
      <c r="AG55" s="134">
        <v>-2</v>
      </c>
      <c r="AH55" s="134">
        <v>0.65989799999999998</v>
      </c>
      <c r="AI55" s="134">
        <v>0.724939</v>
      </c>
      <c r="AJ55" s="134">
        <v>2.9340000000000001E-2</v>
      </c>
      <c r="AK55" s="134">
        <v>0.57696700000000001</v>
      </c>
    </row>
    <row r="56" spans="1:37" x14ac:dyDescent="0.25">
      <c r="A56" s="195" t="s">
        <v>143</v>
      </c>
      <c r="B56" s="88">
        <v>0</v>
      </c>
      <c r="C56" s="174">
        <v>969.44186000000002</v>
      </c>
      <c r="D56" s="134">
        <v>53.725988000000001</v>
      </c>
      <c r="E56" s="134">
        <v>2.9076819999999999</v>
      </c>
      <c r="F56" s="134">
        <v>0.500664</v>
      </c>
      <c r="G56" s="134">
        <f>60/E56</f>
        <v>20.634993785427707</v>
      </c>
      <c r="H56" s="134">
        <v>1.6708782051</v>
      </c>
      <c r="I56" s="134">
        <v>1.1853173077000001</v>
      </c>
      <c r="J56" s="134">
        <v>1.4096463404999999</v>
      </c>
      <c r="K56" s="134">
        <v>72.239999999999995</v>
      </c>
      <c r="L56" s="134">
        <v>0.34648000000000001</v>
      </c>
      <c r="M56" s="134">
        <v>7.8600000000000007E-3</v>
      </c>
      <c r="N56" s="134">
        <v>0.27622000000000002</v>
      </c>
      <c r="O56" s="134">
        <v>0.11341</v>
      </c>
      <c r="P56" s="134">
        <v>0.11341</v>
      </c>
      <c r="Q56" s="134">
        <v>0</v>
      </c>
      <c r="R56" s="134">
        <v>0</v>
      </c>
      <c r="S56" s="134">
        <v>0</v>
      </c>
      <c r="T56" s="134">
        <v>0.16395999999999999</v>
      </c>
      <c r="U56" s="134">
        <v>0</v>
      </c>
      <c r="V56" s="134">
        <v>0.15665999999999999</v>
      </c>
      <c r="W56" s="134">
        <v>0.18640999999999999</v>
      </c>
      <c r="X56" s="134">
        <v>0.3352</v>
      </c>
      <c r="Y56" s="134">
        <v>1.3469999999999999E-2</v>
      </c>
      <c r="Z56" s="134">
        <v>1.6800000000000001E-3</v>
      </c>
      <c r="AA56" s="134">
        <v>0</v>
      </c>
      <c r="AB56" s="134">
        <v>0.56977</v>
      </c>
      <c r="AC56" s="134">
        <v>0.71589000000000003</v>
      </c>
      <c r="AD56" s="134">
        <v>0.65166000000000002</v>
      </c>
      <c r="AE56" s="134">
        <v>0.58548</v>
      </c>
      <c r="AF56" s="134">
        <v>-0.26301000000000002</v>
      </c>
      <c r="AG56" s="134">
        <v>-1.9636359999999999</v>
      </c>
      <c r="AH56" s="134">
        <v>0.79437800000000003</v>
      </c>
      <c r="AI56" s="134">
        <v>0.80237899999999995</v>
      </c>
      <c r="AJ56" s="134">
        <v>4.2382999999999997E-2</v>
      </c>
      <c r="AK56" s="134">
        <v>0.52308900000000003</v>
      </c>
    </row>
    <row r="57" spans="1:37" x14ac:dyDescent="0.25">
      <c r="A57" s="195" t="s">
        <v>144</v>
      </c>
      <c r="B57" s="88">
        <v>0</v>
      </c>
      <c r="C57" s="174">
        <v>977.35729200000003</v>
      </c>
      <c r="D57" s="134">
        <v>71.903471999999994</v>
      </c>
      <c r="E57" s="134">
        <v>3.222086</v>
      </c>
      <c r="F57" s="134">
        <v>1.0199130000000001</v>
      </c>
      <c r="G57" s="134">
        <f>60/E57</f>
        <v>18.621476894161113</v>
      </c>
      <c r="H57" s="134">
        <v>1.6722169492000001</v>
      </c>
      <c r="I57" s="134">
        <v>1.3422915254000001</v>
      </c>
      <c r="J57" s="134">
        <v>1.2457926743000001</v>
      </c>
      <c r="K57" s="134">
        <v>57.61</v>
      </c>
      <c r="L57" s="134">
        <v>0.40583000000000002</v>
      </c>
      <c r="M57" s="134">
        <v>2.2599999999999999E-3</v>
      </c>
      <c r="N57" s="134">
        <v>0.25536999999999999</v>
      </c>
      <c r="O57" s="134">
        <v>0.10992</v>
      </c>
      <c r="P57" s="134">
        <v>0.10992</v>
      </c>
      <c r="Q57" s="134">
        <v>2.2499999999999998E-3</v>
      </c>
      <c r="R57" s="134">
        <v>0</v>
      </c>
      <c r="S57" s="134">
        <v>0</v>
      </c>
      <c r="T57" s="134">
        <v>0.21587000000000001</v>
      </c>
      <c r="U57" s="134">
        <v>0</v>
      </c>
      <c r="V57" s="134">
        <v>0.22206000000000001</v>
      </c>
      <c r="W57" s="134">
        <v>0.15672</v>
      </c>
      <c r="X57" s="134">
        <v>0.26835999999999999</v>
      </c>
      <c r="Y57" s="134">
        <v>2.085E-2</v>
      </c>
      <c r="Z57" s="134">
        <v>5.5999999999999995E-4</v>
      </c>
      <c r="AA57" s="134">
        <v>1.1299999999999999E-3</v>
      </c>
      <c r="AB57" s="134">
        <v>0.58135999999999999</v>
      </c>
      <c r="AC57" s="134">
        <v>0.72209000000000001</v>
      </c>
      <c r="AD57" s="134">
        <v>0.63978999999999997</v>
      </c>
      <c r="AE57" s="134">
        <v>0.58467000000000002</v>
      </c>
      <c r="AF57" s="134">
        <v>-0.253</v>
      </c>
      <c r="AG57" s="134">
        <v>-1.4727269999999999</v>
      </c>
      <c r="AH57" s="134">
        <v>0.63952299999999995</v>
      </c>
      <c r="AI57" s="134">
        <v>0.66251099999999996</v>
      </c>
      <c r="AJ57" s="134">
        <v>6.8741999999999998E-2</v>
      </c>
      <c r="AK57" s="134">
        <v>0.34268700000000002</v>
      </c>
    </row>
    <row r="58" spans="1:37" x14ac:dyDescent="0.25">
      <c r="A58" s="195" t="s">
        <v>145</v>
      </c>
      <c r="B58" s="88">
        <v>0</v>
      </c>
      <c r="C58" s="174">
        <v>1198.474551</v>
      </c>
      <c r="D58" s="134">
        <v>102.802222</v>
      </c>
      <c r="E58" s="134">
        <v>3.1170360000000001</v>
      </c>
      <c r="F58" s="134">
        <v>0.39556999999999998</v>
      </c>
      <c r="G58" s="134">
        <f>60/E58</f>
        <v>19.249055833811351</v>
      </c>
      <c r="H58" s="134">
        <v>1.4014186850999999</v>
      </c>
      <c r="I58" s="134">
        <v>1.6779065743999999</v>
      </c>
      <c r="J58" s="134">
        <v>0.83521854350000002</v>
      </c>
      <c r="K58" s="134">
        <v>136.53</v>
      </c>
      <c r="L58" s="134">
        <v>0.41203000000000001</v>
      </c>
      <c r="M58" s="134">
        <v>0</v>
      </c>
      <c r="N58" s="134">
        <v>0.24509</v>
      </c>
      <c r="O58" s="134">
        <v>0.10624</v>
      </c>
      <c r="P58" s="134">
        <v>0.10624</v>
      </c>
      <c r="Q58" s="134">
        <v>0</v>
      </c>
      <c r="R58" s="134">
        <v>0</v>
      </c>
      <c r="S58" s="134">
        <v>0</v>
      </c>
      <c r="T58" s="134">
        <v>0.24338000000000001</v>
      </c>
      <c r="U58" s="134">
        <v>0</v>
      </c>
      <c r="V58" s="134">
        <v>0.17316000000000001</v>
      </c>
      <c r="W58" s="134">
        <v>0.15290000000000001</v>
      </c>
      <c r="X58" s="134">
        <v>0.29115999999999997</v>
      </c>
      <c r="Y58" s="134">
        <v>8.4399999999999996E-3</v>
      </c>
      <c r="Z58" s="134">
        <v>5.5999999999999995E-4</v>
      </c>
      <c r="AA58" s="134">
        <v>0</v>
      </c>
      <c r="AB58" s="134">
        <v>0.54876000000000003</v>
      </c>
      <c r="AC58" s="134">
        <v>0.67173000000000005</v>
      </c>
      <c r="AD58" s="134">
        <v>0.63129999999999997</v>
      </c>
      <c r="AE58" s="134">
        <v>0.57974999999999999</v>
      </c>
      <c r="AF58" s="134">
        <v>-0.27696999999999999</v>
      </c>
      <c r="AG58" s="134">
        <v>-1.927273</v>
      </c>
      <c r="AH58" s="134">
        <v>0.78733900000000001</v>
      </c>
      <c r="AI58" s="134">
        <v>0.74421999999999999</v>
      </c>
      <c r="AJ58" s="134">
        <v>4.9349999999999998E-2</v>
      </c>
      <c r="AK58" s="134">
        <v>0.45677499999999999</v>
      </c>
    </row>
    <row r="59" spans="1:37" x14ac:dyDescent="0.25">
      <c r="A59" s="195" t="s">
        <v>146</v>
      </c>
      <c r="B59" s="88">
        <v>0</v>
      </c>
      <c r="C59" s="174">
        <v>973.53413799999998</v>
      </c>
      <c r="D59" s="134">
        <v>96.176383000000001</v>
      </c>
      <c r="E59" s="134">
        <v>6.022723</v>
      </c>
      <c r="F59" s="134">
        <v>2.3554719999999998</v>
      </c>
      <c r="G59" s="134">
        <f>60/E59</f>
        <v>9.9622712185169391</v>
      </c>
      <c r="H59" s="134">
        <v>6.9525157233000003</v>
      </c>
      <c r="I59" s="134">
        <v>3.0895283019000002</v>
      </c>
      <c r="J59" s="134">
        <v>2.2503486112000002</v>
      </c>
      <c r="K59" s="134">
        <v>141.58000000000001</v>
      </c>
      <c r="L59" s="134">
        <v>0.36836000000000002</v>
      </c>
      <c r="M59" s="134">
        <v>0</v>
      </c>
      <c r="N59" s="134">
        <v>0.39889000000000002</v>
      </c>
      <c r="O59" s="134">
        <v>7.4370000000000006E-2</v>
      </c>
      <c r="P59" s="134">
        <v>5.6210000000000003E-2</v>
      </c>
      <c r="Q59" s="134">
        <v>9.0799999999999995E-3</v>
      </c>
      <c r="R59" s="134">
        <v>0</v>
      </c>
      <c r="S59" s="134">
        <v>0</v>
      </c>
      <c r="T59" s="134">
        <v>0.35919000000000001</v>
      </c>
      <c r="U59" s="134">
        <v>0</v>
      </c>
      <c r="V59" s="134">
        <v>0.22301000000000001</v>
      </c>
      <c r="W59" s="134">
        <v>0.10899</v>
      </c>
      <c r="X59" s="134">
        <v>0.20039000000000001</v>
      </c>
      <c r="Y59" s="134">
        <v>1.4749999999999999E-2</v>
      </c>
      <c r="Z59" s="134">
        <v>0</v>
      </c>
      <c r="AA59" s="134">
        <v>5.6999999999999998E-4</v>
      </c>
      <c r="AB59" s="134">
        <v>0.55203000000000002</v>
      </c>
      <c r="AC59" s="134">
        <v>0.69964000000000004</v>
      </c>
      <c r="AD59" s="134">
        <v>0.56933999999999996</v>
      </c>
      <c r="AE59" s="134">
        <v>0.50024999999999997</v>
      </c>
      <c r="AF59" s="134">
        <v>-0.21168999999999999</v>
      </c>
      <c r="AG59" s="134">
        <v>-0.8</v>
      </c>
      <c r="AH59" s="134">
        <v>0.657528</v>
      </c>
      <c r="AI59" s="134">
        <v>0.595584</v>
      </c>
      <c r="AJ59" s="134">
        <v>5.8630000000000002E-2</v>
      </c>
      <c r="AK59" s="134">
        <v>0.20521400000000001</v>
      </c>
    </row>
    <row r="60" spans="1:37" x14ac:dyDescent="0.25">
      <c r="A60" s="195" t="s">
        <v>147</v>
      </c>
      <c r="B60" s="88">
        <v>0</v>
      </c>
      <c r="C60" s="174">
        <v>986.92215499999998</v>
      </c>
      <c r="D60" s="134">
        <v>59.779318000000004</v>
      </c>
      <c r="E60" s="134">
        <v>4.2525839999999997</v>
      </c>
      <c r="F60" s="134">
        <v>0.75432100000000002</v>
      </c>
      <c r="G60" s="134">
        <f>60/E60</f>
        <v>14.109068745026555</v>
      </c>
      <c r="H60" s="134">
        <v>1.8396948357</v>
      </c>
      <c r="I60" s="134">
        <v>2.3066197182999999</v>
      </c>
      <c r="J60" s="134">
        <v>0.79757179779999998</v>
      </c>
      <c r="K60" s="134">
        <v>80.11</v>
      </c>
      <c r="L60" s="134">
        <v>0.41243999999999997</v>
      </c>
      <c r="M60" s="134">
        <v>0</v>
      </c>
      <c r="N60" s="134">
        <v>0.32524999999999998</v>
      </c>
      <c r="O60" s="134">
        <v>8.1019999999999995E-2</v>
      </c>
      <c r="P60" s="134">
        <v>8.1009999999999999E-2</v>
      </c>
      <c r="Q60" s="134">
        <v>1.0000000000000001E-5</v>
      </c>
      <c r="R60" s="134">
        <v>0</v>
      </c>
      <c r="S60" s="134">
        <v>0</v>
      </c>
      <c r="T60" s="134">
        <v>0.27483999999999997</v>
      </c>
      <c r="U60" s="134">
        <v>0</v>
      </c>
      <c r="V60" s="134">
        <v>0.28099000000000002</v>
      </c>
      <c r="W60" s="134">
        <v>0.11841</v>
      </c>
      <c r="X60" s="134">
        <v>0.22039</v>
      </c>
      <c r="Y60" s="134">
        <v>3.4099999999999998E-3</v>
      </c>
      <c r="Z60" s="134">
        <v>1.1299999999999999E-3</v>
      </c>
      <c r="AA60" s="134">
        <v>5.6999999999999998E-4</v>
      </c>
      <c r="AB60" s="134">
        <v>0.53861000000000003</v>
      </c>
      <c r="AC60" s="134">
        <v>0.65525</v>
      </c>
      <c r="AD60" s="134">
        <v>0.58877000000000002</v>
      </c>
      <c r="AE60" s="134">
        <v>0.54364999999999997</v>
      </c>
      <c r="AF60" s="134">
        <v>-0.29670999999999997</v>
      </c>
      <c r="AG60" s="134">
        <v>-1.7090909999999999</v>
      </c>
      <c r="AH60" s="134">
        <v>0.64815699999999998</v>
      </c>
      <c r="AI60" s="134">
        <v>0.68490300000000004</v>
      </c>
      <c r="AJ60" s="134">
        <v>4.4856E-2</v>
      </c>
      <c r="AK60" s="134">
        <v>0.32590200000000003</v>
      </c>
    </row>
    <row r="61" spans="1:37" ht="15.75" thickBot="1" x14ac:dyDescent="0.3">
      <c r="A61" s="188" t="s">
        <v>148</v>
      </c>
      <c r="B61" s="89">
        <v>0</v>
      </c>
      <c r="C61" s="169">
        <v>862.24848999999995</v>
      </c>
      <c r="D61" s="133">
        <v>52.156177</v>
      </c>
      <c r="E61" s="133">
        <v>3.7364830000000002</v>
      </c>
      <c r="F61" s="133">
        <v>0.70399599999999996</v>
      </c>
      <c r="G61" s="133">
        <f>60/E61</f>
        <v>16.057881167932518</v>
      </c>
      <c r="H61" s="133">
        <v>5.8840750000000002</v>
      </c>
      <c r="I61" s="133">
        <v>2.1945541667000001</v>
      </c>
      <c r="J61" s="133">
        <v>2.6812165720999999</v>
      </c>
      <c r="K61" s="133">
        <v>96.23</v>
      </c>
      <c r="L61" s="133">
        <v>0.39728999999999998</v>
      </c>
      <c r="M61" s="133">
        <v>0</v>
      </c>
      <c r="N61" s="133">
        <v>0.29091</v>
      </c>
      <c r="O61" s="133">
        <v>9.1109999999999997E-2</v>
      </c>
      <c r="P61" s="133">
        <v>9.1109999999999997E-2</v>
      </c>
      <c r="Q61" s="133">
        <v>0</v>
      </c>
      <c r="R61" s="133">
        <v>0</v>
      </c>
      <c r="S61" s="133">
        <v>0</v>
      </c>
      <c r="T61" s="133">
        <v>0.16871</v>
      </c>
      <c r="U61" s="133">
        <v>0</v>
      </c>
      <c r="V61" s="133">
        <v>0.27109</v>
      </c>
      <c r="W61" s="133">
        <v>0.14768999999999999</v>
      </c>
      <c r="X61" s="133">
        <v>0.26991999999999999</v>
      </c>
      <c r="Y61" s="133">
        <v>1.2449999999999999E-2</v>
      </c>
      <c r="Z61" s="133">
        <v>0</v>
      </c>
      <c r="AA61" s="133">
        <v>5.6999999999999998E-4</v>
      </c>
      <c r="AB61" s="133">
        <v>0.52927999999999997</v>
      </c>
      <c r="AC61" s="133">
        <v>0.6522</v>
      </c>
      <c r="AD61" s="133">
        <v>0.60048000000000001</v>
      </c>
      <c r="AE61" s="133">
        <v>0.54266000000000003</v>
      </c>
      <c r="AF61" s="133">
        <v>-0.28664000000000001</v>
      </c>
      <c r="AG61" s="133">
        <v>-1.9454549999999999</v>
      </c>
      <c r="AH61" s="133">
        <v>0.74395900000000004</v>
      </c>
      <c r="AI61" s="133">
        <v>0.63380300000000001</v>
      </c>
      <c r="AJ61" s="133">
        <v>3.2189000000000002E-2</v>
      </c>
      <c r="AK61" s="133">
        <v>0.28562500000000002</v>
      </c>
    </row>
    <row r="62" spans="1:37" x14ac:dyDescent="0.25">
      <c r="A62" s="183" t="s">
        <v>157</v>
      </c>
      <c r="B62" s="139">
        <v>1</v>
      </c>
      <c r="C62" s="167">
        <v>603.31504099999995</v>
      </c>
      <c r="D62" s="141">
        <v>33.533476</v>
      </c>
      <c r="E62" s="141">
        <v>3.3889269999999998</v>
      </c>
      <c r="F62" s="141">
        <v>1.1338090000000001</v>
      </c>
      <c r="G62" s="141">
        <f>60/E62</f>
        <v>17.704718927259279</v>
      </c>
      <c r="H62" s="141">
        <v>1.4849158249000001</v>
      </c>
      <c r="I62" s="141">
        <v>2.8800740740999999</v>
      </c>
      <c r="J62" s="141">
        <v>0.51558251170000002</v>
      </c>
      <c r="K62" s="141">
        <v>17.25</v>
      </c>
      <c r="L62" s="141">
        <v>0.35371000000000002</v>
      </c>
      <c r="M62" s="141">
        <v>1.1299999999999999E-3</v>
      </c>
      <c r="N62" s="141">
        <v>0.32145000000000001</v>
      </c>
      <c r="O62" s="141">
        <v>0.12111</v>
      </c>
      <c r="P62" s="141">
        <v>9.7909999999999997E-2</v>
      </c>
      <c r="Q62" s="141">
        <v>1.754E-2</v>
      </c>
      <c r="R62" s="141">
        <v>0</v>
      </c>
      <c r="S62" s="141">
        <v>0</v>
      </c>
      <c r="T62" s="141">
        <v>0.22524</v>
      </c>
      <c r="U62" s="141">
        <v>1.1299999999999999E-3</v>
      </c>
      <c r="V62" s="141">
        <v>0.21335999999999999</v>
      </c>
      <c r="W62" s="141">
        <v>0.13865</v>
      </c>
      <c r="X62" s="141">
        <v>0.21732000000000001</v>
      </c>
      <c r="Y62" s="141">
        <v>0.10074</v>
      </c>
      <c r="Z62" s="141">
        <v>7.92E-3</v>
      </c>
      <c r="AA62" s="141">
        <v>8.4899999999999993E-3</v>
      </c>
      <c r="AB62" s="141">
        <v>0.66019000000000005</v>
      </c>
      <c r="AC62" s="141">
        <v>0.78942000000000001</v>
      </c>
      <c r="AD62" s="141">
        <v>0.69252999999999998</v>
      </c>
      <c r="AE62" s="141">
        <v>0.64000999999999997</v>
      </c>
      <c r="AF62" s="141">
        <v>-0.34071000000000001</v>
      </c>
      <c r="AG62" s="141">
        <v>-9.0909000000000004E-2</v>
      </c>
      <c r="AH62" s="141">
        <v>0.524976</v>
      </c>
      <c r="AI62" s="141">
        <v>0.45929199999999998</v>
      </c>
      <c r="AJ62" s="141">
        <v>0.107449</v>
      </c>
      <c r="AK62" s="141">
        <v>9.7972000000000004E-2</v>
      </c>
    </row>
    <row r="63" spans="1:37" x14ac:dyDescent="0.25">
      <c r="A63" s="179" t="s">
        <v>158</v>
      </c>
      <c r="B63" s="90">
        <v>1</v>
      </c>
      <c r="C63" s="171">
        <v>858.36242500000003</v>
      </c>
      <c r="D63" s="135">
        <v>80.503444999999999</v>
      </c>
      <c r="E63" s="135">
        <v>5.2482160000000002</v>
      </c>
      <c r="F63" s="135">
        <v>1.1188640000000001</v>
      </c>
      <c r="G63" s="135">
        <f>60/E63</f>
        <v>11.432456286097981</v>
      </c>
      <c r="H63" s="135">
        <v>2.2164685714000001</v>
      </c>
      <c r="I63" s="135">
        <v>2.8528742857</v>
      </c>
      <c r="J63" s="135">
        <v>0.77692472550000002</v>
      </c>
      <c r="K63" s="135">
        <v>61.01</v>
      </c>
      <c r="L63" s="135">
        <v>0.44463999999999998</v>
      </c>
      <c r="M63" s="135">
        <v>0</v>
      </c>
      <c r="N63" s="135">
        <v>0.34254000000000001</v>
      </c>
      <c r="O63" s="135">
        <v>6.719E-2</v>
      </c>
      <c r="P63" s="135">
        <v>6.7169999999999994E-2</v>
      </c>
      <c r="Q63" s="135">
        <v>1.14E-3</v>
      </c>
      <c r="R63" s="135">
        <v>0</v>
      </c>
      <c r="S63" s="135">
        <v>0</v>
      </c>
      <c r="T63" s="135">
        <v>0.38647999999999999</v>
      </c>
      <c r="U63" s="135">
        <v>0</v>
      </c>
      <c r="V63" s="135">
        <v>0.23813999999999999</v>
      </c>
      <c r="W63" s="135">
        <v>9.7089999999999996E-2</v>
      </c>
      <c r="X63" s="135">
        <v>0.18060999999999999</v>
      </c>
      <c r="Y63" s="135">
        <v>1.6979999999999999E-2</v>
      </c>
      <c r="Z63" s="135">
        <v>2.2599999999999999E-3</v>
      </c>
      <c r="AA63" s="135">
        <v>1.1299999999999999E-3</v>
      </c>
      <c r="AB63" s="135">
        <v>0.55054000000000003</v>
      </c>
      <c r="AC63" s="135">
        <v>0.70230000000000004</v>
      </c>
      <c r="AD63" s="135">
        <v>0.56544000000000005</v>
      </c>
      <c r="AE63" s="135">
        <v>0.51737</v>
      </c>
      <c r="AF63" s="135">
        <v>-0.40805000000000002</v>
      </c>
      <c r="AG63" s="135">
        <v>-1.6545449999999999</v>
      </c>
      <c r="AH63" s="135">
        <v>0.58833400000000002</v>
      </c>
      <c r="AI63" s="135">
        <v>0.59463500000000002</v>
      </c>
      <c r="AJ63" s="135">
        <v>3.9248999999999999E-2</v>
      </c>
      <c r="AK63" s="135">
        <v>0.27398099999999997</v>
      </c>
    </row>
    <row r="64" spans="1:37" x14ac:dyDescent="0.25">
      <c r="A64" s="179" t="s">
        <v>159</v>
      </c>
      <c r="B64" s="90">
        <v>1</v>
      </c>
      <c r="C64" s="171">
        <v>688.00607000000002</v>
      </c>
      <c r="D64" s="135">
        <v>40.622396999999999</v>
      </c>
      <c r="E64" s="135">
        <v>4.7497769999999999</v>
      </c>
      <c r="F64" s="135">
        <v>1.333315</v>
      </c>
      <c r="G64" s="135">
        <f>60/E64</f>
        <v>12.632171994601009</v>
      </c>
      <c r="H64" s="135">
        <v>2.67353</v>
      </c>
      <c r="I64" s="135">
        <v>1.7585949999999999</v>
      </c>
      <c r="J64" s="135">
        <v>1.5202647568000001</v>
      </c>
      <c r="K64" s="135">
        <v>66.86</v>
      </c>
      <c r="L64" s="135">
        <v>0.40139000000000002</v>
      </c>
      <c r="M64" s="135">
        <v>6.7999999999999996E-3</v>
      </c>
      <c r="N64" s="135">
        <v>0.34977000000000003</v>
      </c>
      <c r="O64" s="135">
        <v>6.5759999999999999E-2</v>
      </c>
      <c r="P64" s="135">
        <v>6.3490000000000005E-2</v>
      </c>
      <c r="Q64" s="135">
        <v>0</v>
      </c>
      <c r="R64" s="135">
        <v>0</v>
      </c>
      <c r="S64" s="135">
        <v>0</v>
      </c>
      <c r="T64" s="135">
        <v>0.23760999999999999</v>
      </c>
      <c r="U64" s="135">
        <v>0</v>
      </c>
      <c r="V64" s="135">
        <v>0.27151999999999998</v>
      </c>
      <c r="W64" s="135">
        <v>0.11507000000000001</v>
      </c>
      <c r="X64" s="135">
        <v>0.24260000000000001</v>
      </c>
      <c r="Y64" s="135">
        <v>1.644E-2</v>
      </c>
      <c r="Z64" s="135">
        <v>2.2699999999999999E-3</v>
      </c>
      <c r="AA64" s="135">
        <v>1.6999999999999999E-3</v>
      </c>
      <c r="AB64" s="135">
        <v>0.54117000000000004</v>
      </c>
      <c r="AC64" s="135">
        <v>0.69035999999999997</v>
      </c>
      <c r="AD64" s="135">
        <v>0.59626999999999997</v>
      </c>
      <c r="AE64" s="135">
        <v>0.54735</v>
      </c>
      <c r="AF64" s="135">
        <v>-0.30943999999999999</v>
      </c>
      <c r="AG64" s="135">
        <v>-2</v>
      </c>
      <c r="AH64" s="135">
        <v>0.66195300000000001</v>
      </c>
      <c r="AI64" s="135">
        <v>0.65592399999999995</v>
      </c>
      <c r="AJ64" s="135">
        <v>2.3998999999999999E-2</v>
      </c>
      <c r="AK64" s="135">
        <v>0.33907700000000002</v>
      </c>
    </row>
    <row r="65" spans="1:37" x14ac:dyDescent="0.25">
      <c r="A65" s="179" t="s">
        <v>160</v>
      </c>
      <c r="B65" s="90">
        <v>1</v>
      </c>
      <c r="C65" s="171">
        <v>732.64903000000004</v>
      </c>
      <c r="D65" s="135">
        <v>56.541001000000001</v>
      </c>
      <c r="E65" s="135">
        <v>3.5945239999999998</v>
      </c>
      <c r="F65" s="135">
        <v>1.1853419999999999</v>
      </c>
      <c r="G65" s="135">
        <f>60/E65</f>
        <v>16.692057140250004</v>
      </c>
      <c r="H65" s="135">
        <v>14.3064574899</v>
      </c>
      <c r="I65" s="135">
        <v>11.447145749000001</v>
      </c>
      <c r="J65" s="135">
        <v>1.2497838154000001</v>
      </c>
      <c r="K65" s="135">
        <v>80.27</v>
      </c>
      <c r="L65" s="135">
        <v>0.40460000000000002</v>
      </c>
      <c r="M65" s="135">
        <v>0</v>
      </c>
      <c r="N65" s="135">
        <v>0.29688999999999999</v>
      </c>
      <c r="O65" s="135">
        <v>9.7629999999999995E-2</v>
      </c>
      <c r="P65" s="135">
        <v>8.8650000000000007E-2</v>
      </c>
      <c r="Q65" s="135">
        <v>7.8499999999999993E-3</v>
      </c>
      <c r="R65" s="135">
        <v>0</v>
      </c>
      <c r="S65" s="135">
        <v>0</v>
      </c>
      <c r="T65" s="135">
        <v>0.25700000000000001</v>
      </c>
      <c r="U65" s="135">
        <v>0</v>
      </c>
      <c r="V65" s="135">
        <v>0.19982</v>
      </c>
      <c r="W65" s="135">
        <v>0.15318000000000001</v>
      </c>
      <c r="X65" s="135">
        <v>0.25140000000000001</v>
      </c>
      <c r="Y65" s="135">
        <v>3.3099999999999997E-2</v>
      </c>
      <c r="Z65" s="135">
        <v>0</v>
      </c>
      <c r="AA65" s="135">
        <v>1.1199999999999999E-3</v>
      </c>
      <c r="AB65" s="135">
        <v>0.58904999999999996</v>
      </c>
      <c r="AC65" s="135">
        <v>0.72150000000000003</v>
      </c>
      <c r="AD65" s="135">
        <v>0.63717999999999997</v>
      </c>
      <c r="AE65" s="135">
        <v>0.58931</v>
      </c>
      <c r="AF65" s="135">
        <v>-0.23726</v>
      </c>
      <c r="AG65" s="135">
        <v>-0.87272700000000003</v>
      </c>
      <c r="AH65" s="135">
        <v>0.72531699999999999</v>
      </c>
      <c r="AI65" s="135">
        <v>0.58608800000000005</v>
      </c>
      <c r="AJ65" s="135">
        <v>5.7389000000000003E-2</v>
      </c>
      <c r="AK65" s="135">
        <v>0.14862</v>
      </c>
    </row>
    <row r="66" spans="1:37" x14ac:dyDescent="0.25">
      <c r="A66" s="179" t="s">
        <v>161</v>
      </c>
      <c r="B66" s="90">
        <v>1</v>
      </c>
      <c r="C66" s="171">
        <v>831.05186600000002</v>
      </c>
      <c r="D66" s="135">
        <v>37.234211000000002</v>
      </c>
      <c r="E66" s="135">
        <v>4.1832890000000003</v>
      </c>
      <c r="F66" s="135">
        <v>0.73921300000000001</v>
      </c>
      <c r="G66" s="135">
        <f>60/E66</f>
        <v>14.34278148126988</v>
      </c>
      <c r="H66" s="135">
        <v>1.8404009216999999</v>
      </c>
      <c r="I66" s="135">
        <v>2.2555299539</v>
      </c>
      <c r="J66" s="135">
        <v>0.81595055670000005</v>
      </c>
      <c r="K66" s="135">
        <v>45.13</v>
      </c>
      <c r="L66" s="135">
        <v>0.43491000000000002</v>
      </c>
      <c r="M66" s="135">
        <v>0</v>
      </c>
      <c r="N66" s="135">
        <v>0.30535000000000001</v>
      </c>
      <c r="O66" s="135">
        <v>6.8750000000000006E-2</v>
      </c>
      <c r="P66" s="135">
        <v>6.8739999999999996E-2</v>
      </c>
      <c r="Q66" s="135">
        <v>0</v>
      </c>
      <c r="R66" s="135">
        <v>0</v>
      </c>
      <c r="S66" s="135">
        <v>0</v>
      </c>
      <c r="T66" s="135">
        <v>0.23494000000000001</v>
      </c>
      <c r="U66" s="135">
        <v>0</v>
      </c>
      <c r="V66" s="135">
        <v>0.23435</v>
      </c>
      <c r="W66" s="135">
        <v>0.14029</v>
      </c>
      <c r="X66" s="135">
        <v>0.24845</v>
      </c>
      <c r="Y66" s="135">
        <v>1.7469999999999999E-2</v>
      </c>
      <c r="Z66" s="135">
        <v>2.2499999999999998E-3</v>
      </c>
      <c r="AA66" s="135">
        <v>0</v>
      </c>
      <c r="AB66" s="135">
        <v>0.53517000000000003</v>
      </c>
      <c r="AC66" s="135">
        <v>0.66381000000000001</v>
      </c>
      <c r="AD66" s="135">
        <v>0.60524999999999995</v>
      </c>
      <c r="AE66" s="135">
        <v>0.55920000000000003</v>
      </c>
      <c r="AF66" s="135">
        <v>-0.30976999999999999</v>
      </c>
      <c r="AG66" s="135">
        <v>-2</v>
      </c>
      <c r="AH66" s="135">
        <v>0.69782200000000005</v>
      </c>
      <c r="AI66" s="135">
        <v>0.69112700000000005</v>
      </c>
      <c r="AJ66" s="135">
        <v>1.6678999999999999E-2</v>
      </c>
      <c r="AK66" s="135">
        <v>0.40879500000000002</v>
      </c>
    </row>
    <row r="67" spans="1:37" x14ac:dyDescent="0.25">
      <c r="A67" s="179" t="s">
        <v>162</v>
      </c>
      <c r="B67" s="90">
        <v>1</v>
      </c>
      <c r="C67" s="171">
        <v>1045.3083529999999</v>
      </c>
      <c r="D67" s="135">
        <v>23.08886</v>
      </c>
      <c r="E67" s="135">
        <v>4.5151839999999996</v>
      </c>
      <c r="F67" s="135">
        <v>0.62934199999999996</v>
      </c>
      <c r="G67" s="135">
        <f>60/E67</f>
        <v>13.288494998210483</v>
      </c>
      <c r="H67" s="135">
        <v>2.1751049999999998</v>
      </c>
      <c r="I67" s="135">
        <v>2.2594050000000001</v>
      </c>
      <c r="J67" s="135">
        <v>0.96268929209999998</v>
      </c>
      <c r="K67" s="135">
        <v>15.78</v>
      </c>
      <c r="L67" s="135">
        <v>0.43891000000000002</v>
      </c>
      <c r="M67" s="135">
        <v>2.8300000000000001E-3</v>
      </c>
      <c r="N67" s="135">
        <v>0.34952</v>
      </c>
      <c r="O67" s="135">
        <v>6.9570000000000007E-2</v>
      </c>
      <c r="P67" s="135">
        <v>6.9570000000000007E-2</v>
      </c>
      <c r="Q67" s="135">
        <v>0</v>
      </c>
      <c r="R67" s="135">
        <v>0</v>
      </c>
      <c r="S67" s="135">
        <v>0</v>
      </c>
      <c r="T67" s="135">
        <v>0.27655999999999997</v>
      </c>
      <c r="U67" s="135">
        <v>2.2599999999999999E-3</v>
      </c>
      <c r="V67" s="135">
        <v>0.29520999999999997</v>
      </c>
      <c r="W67" s="135">
        <v>0.13066</v>
      </c>
      <c r="X67" s="135">
        <v>0.20308000000000001</v>
      </c>
      <c r="Y67" s="135">
        <v>3.9699999999999996E-3</v>
      </c>
      <c r="Z67" s="135">
        <v>9.0500000000000008E-3</v>
      </c>
      <c r="AA67" s="135">
        <v>9.6100000000000005E-3</v>
      </c>
      <c r="AB67" s="135">
        <v>0.57952000000000004</v>
      </c>
      <c r="AC67" s="135">
        <v>0.74387999999999999</v>
      </c>
      <c r="AD67" s="135">
        <v>0.58394999999999997</v>
      </c>
      <c r="AE67" s="135">
        <v>0.53661000000000003</v>
      </c>
      <c r="AF67" s="135">
        <v>-0.42157</v>
      </c>
      <c r="AG67" s="135">
        <v>-0.4</v>
      </c>
      <c r="AH67" s="135">
        <v>0.60609999999999997</v>
      </c>
      <c r="AI67" s="135">
        <v>0.60611000000000004</v>
      </c>
      <c r="AJ67" s="135">
        <v>0.11339200000000001</v>
      </c>
      <c r="AK67" s="135">
        <v>0.16778100000000001</v>
      </c>
    </row>
    <row r="68" spans="1:37" x14ac:dyDescent="0.25">
      <c r="A68" s="179" t="s">
        <v>163</v>
      </c>
      <c r="B68" s="90">
        <v>1</v>
      </c>
      <c r="C68" s="171">
        <v>735.64561700000002</v>
      </c>
      <c r="D68" s="135">
        <v>18.826205000000002</v>
      </c>
      <c r="E68" s="135">
        <v>2.8311839999999999</v>
      </c>
      <c r="F68" s="135">
        <v>0.161717</v>
      </c>
      <c r="G68" s="135">
        <f>60/E68</f>
        <v>21.192547005069258</v>
      </c>
      <c r="H68" s="135">
        <v>1.2914968354</v>
      </c>
      <c r="I68" s="135">
        <v>1.5281867089000001</v>
      </c>
      <c r="J68" s="135">
        <v>0.84511717580000001</v>
      </c>
      <c r="K68" s="135">
        <v>21</v>
      </c>
      <c r="L68" s="135">
        <v>0.40081</v>
      </c>
      <c r="M68" s="135">
        <v>8.43E-3</v>
      </c>
      <c r="N68" s="135">
        <v>0.26030999999999999</v>
      </c>
      <c r="O68" s="135">
        <v>0.10903</v>
      </c>
      <c r="P68" s="135">
        <v>0.10903</v>
      </c>
      <c r="Q68" s="135">
        <v>0</v>
      </c>
      <c r="R68" s="135">
        <v>0</v>
      </c>
      <c r="S68" s="135">
        <v>0</v>
      </c>
      <c r="T68" s="135">
        <v>0.14004</v>
      </c>
      <c r="U68" s="135">
        <v>0</v>
      </c>
      <c r="V68" s="135">
        <v>0.18049999999999999</v>
      </c>
      <c r="W68" s="135">
        <v>0.21804999999999999</v>
      </c>
      <c r="X68" s="135">
        <v>0.31191000000000002</v>
      </c>
      <c r="Y68" s="135">
        <v>2.4719999999999999E-2</v>
      </c>
      <c r="Z68" s="135">
        <v>5.62E-3</v>
      </c>
      <c r="AA68" s="135">
        <v>6.7499999999999999E-3</v>
      </c>
      <c r="AB68" s="135">
        <v>0.60028000000000004</v>
      </c>
      <c r="AC68" s="135">
        <v>0.74885999999999997</v>
      </c>
      <c r="AD68" s="135">
        <v>0.64356999999999998</v>
      </c>
      <c r="AE68" s="135">
        <v>0.57579000000000002</v>
      </c>
      <c r="AF68" s="135">
        <v>-0.26905000000000001</v>
      </c>
      <c r="AG68" s="135">
        <v>-1.818182</v>
      </c>
      <c r="AH68" s="135">
        <v>0.70644600000000002</v>
      </c>
      <c r="AI68" s="135">
        <v>0.72712299999999996</v>
      </c>
      <c r="AJ68" s="135">
        <v>4.4484999999999997E-2</v>
      </c>
      <c r="AK68" s="135">
        <v>0.354688</v>
      </c>
    </row>
    <row r="69" spans="1:37" x14ac:dyDescent="0.25">
      <c r="A69" s="179" t="s">
        <v>164</v>
      </c>
      <c r="B69" s="90">
        <v>1</v>
      </c>
      <c r="C69" s="171">
        <v>912.66923199999997</v>
      </c>
      <c r="D69" s="135">
        <v>38.048777000000001</v>
      </c>
      <c r="E69" s="135">
        <v>3.3700009999999998</v>
      </c>
      <c r="F69" s="135">
        <v>0.60498399999999997</v>
      </c>
      <c r="G69" s="135">
        <f>60/E69</f>
        <v>17.80414901954035</v>
      </c>
      <c r="H69" s="135">
        <v>1.5431328413000001</v>
      </c>
      <c r="I69" s="135">
        <v>1.7361660516999999</v>
      </c>
      <c r="J69" s="135">
        <v>0.88881638929999995</v>
      </c>
      <c r="K69" s="135">
        <v>51.12</v>
      </c>
      <c r="L69" s="135">
        <v>0.42814999999999998</v>
      </c>
      <c r="M69" s="135">
        <v>1.6900000000000001E-3</v>
      </c>
      <c r="N69" s="135">
        <v>0.27492</v>
      </c>
      <c r="O69" s="135">
        <v>8.9029999999999998E-2</v>
      </c>
      <c r="P69" s="135">
        <v>8.9029999999999998E-2</v>
      </c>
      <c r="Q69" s="135">
        <v>0</v>
      </c>
      <c r="R69" s="135">
        <v>0</v>
      </c>
      <c r="S69" s="135">
        <v>0</v>
      </c>
      <c r="T69" s="135">
        <v>0.22023999999999999</v>
      </c>
      <c r="U69" s="135">
        <v>0</v>
      </c>
      <c r="V69" s="135">
        <v>0.19999</v>
      </c>
      <c r="W69" s="135">
        <v>0.16678999999999999</v>
      </c>
      <c r="X69" s="135">
        <v>0.28339999999999999</v>
      </c>
      <c r="Y69" s="135">
        <v>1.0710000000000001E-2</v>
      </c>
      <c r="Z69" s="135">
        <v>5.6999999999999998E-4</v>
      </c>
      <c r="AA69" s="135">
        <v>1.1299999999999999E-3</v>
      </c>
      <c r="AB69" s="135">
        <v>0.55672999999999995</v>
      </c>
      <c r="AC69" s="135">
        <v>0.69698000000000004</v>
      </c>
      <c r="AD69" s="135">
        <v>0.61758000000000002</v>
      </c>
      <c r="AE69" s="135">
        <v>0.56620000000000004</v>
      </c>
      <c r="AF69" s="135">
        <v>-0.29343000000000002</v>
      </c>
      <c r="AG69" s="135">
        <v>-1.9636359999999999</v>
      </c>
      <c r="AH69" s="135">
        <v>0.74802100000000005</v>
      </c>
      <c r="AI69" s="135">
        <v>0.72390200000000005</v>
      </c>
      <c r="AJ69" s="135">
        <v>3.1129E-2</v>
      </c>
      <c r="AK69" s="135">
        <v>0.42636000000000002</v>
      </c>
    </row>
    <row r="70" spans="1:37" x14ac:dyDescent="0.25">
      <c r="A70" s="179" t="s">
        <v>165</v>
      </c>
      <c r="B70" s="90">
        <v>1</v>
      </c>
      <c r="C70" s="171">
        <v>1166.037517</v>
      </c>
      <c r="D70" s="135">
        <v>37.219419000000002</v>
      </c>
      <c r="E70" s="135">
        <v>4.1178290000000004</v>
      </c>
      <c r="F70" s="135">
        <v>0.66510499999999995</v>
      </c>
      <c r="G70" s="135">
        <f>60/E70</f>
        <v>14.570784750896648</v>
      </c>
      <c r="H70" s="135">
        <v>1.8198227273000001</v>
      </c>
      <c r="I70" s="135">
        <v>2.2236818182000002</v>
      </c>
      <c r="J70" s="135">
        <v>0.81838269860000001</v>
      </c>
      <c r="K70" s="135">
        <v>39.22</v>
      </c>
      <c r="L70" s="135">
        <v>0.45637</v>
      </c>
      <c r="M70" s="135">
        <v>8.4399999999999996E-3</v>
      </c>
      <c r="N70" s="135">
        <v>0.28417999999999999</v>
      </c>
      <c r="O70" s="135">
        <v>7.7670000000000003E-2</v>
      </c>
      <c r="P70" s="135">
        <v>7.9920000000000005E-2</v>
      </c>
      <c r="Q70" s="135">
        <v>0</v>
      </c>
      <c r="R70" s="135">
        <v>0</v>
      </c>
      <c r="S70" s="135">
        <v>0</v>
      </c>
      <c r="T70" s="135">
        <v>0.23522000000000001</v>
      </c>
      <c r="U70" s="135">
        <v>0</v>
      </c>
      <c r="V70" s="135">
        <v>0.26783000000000001</v>
      </c>
      <c r="W70" s="135">
        <v>0.1542</v>
      </c>
      <c r="X70" s="135">
        <v>0.24537999999999999</v>
      </c>
      <c r="Y70" s="135">
        <v>1.0000000000000001E-5</v>
      </c>
      <c r="Z70" s="135">
        <v>2.81E-3</v>
      </c>
      <c r="AA70" s="135">
        <v>1.1299999999999999E-3</v>
      </c>
      <c r="AB70" s="135">
        <v>0.55462</v>
      </c>
      <c r="AC70" s="135">
        <v>0.68566000000000005</v>
      </c>
      <c r="AD70" s="135">
        <v>0.59396000000000004</v>
      </c>
      <c r="AE70" s="135">
        <v>0.54842999999999997</v>
      </c>
      <c r="AF70" s="135">
        <v>-0.31117</v>
      </c>
      <c r="AG70" s="135">
        <v>-1.890909</v>
      </c>
      <c r="AH70" s="135">
        <v>0.58414500000000003</v>
      </c>
      <c r="AI70" s="135">
        <v>0.74609199999999998</v>
      </c>
      <c r="AJ70" s="135">
        <v>3.9826E-2</v>
      </c>
      <c r="AK70" s="135">
        <v>0.46668799999999999</v>
      </c>
    </row>
    <row r="71" spans="1:37" x14ac:dyDescent="0.25">
      <c r="A71" s="179" t="s">
        <v>166</v>
      </c>
      <c r="B71" s="90">
        <v>1</v>
      </c>
      <c r="C71" s="171">
        <v>994.63217899999995</v>
      </c>
      <c r="D71" s="135">
        <v>138.16922500000001</v>
      </c>
      <c r="E71" s="135">
        <v>3.8664299999999998</v>
      </c>
      <c r="F71" s="135">
        <v>1.1804920000000001</v>
      </c>
      <c r="G71" s="135">
        <f>60/E71</f>
        <v>15.518191199633771</v>
      </c>
      <c r="H71" s="135">
        <v>8.1083250000000007</v>
      </c>
      <c r="I71" s="135">
        <v>7.4192</v>
      </c>
      <c r="J71" s="135">
        <v>1.0928840037000001</v>
      </c>
      <c r="K71" s="135">
        <v>27.36</v>
      </c>
      <c r="L71" s="135">
        <v>0.41394999999999998</v>
      </c>
      <c r="M71" s="135">
        <v>0</v>
      </c>
      <c r="N71" s="135">
        <v>0.28426000000000001</v>
      </c>
      <c r="O71" s="135">
        <v>9.0590000000000004E-2</v>
      </c>
      <c r="P71" s="135">
        <v>8.4930000000000005E-2</v>
      </c>
      <c r="Q71" s="135">
        <v>5.0899999999999999E-3</v>
      </c>
      <c r="R71" s="135">
        <v>0</v>
      </c>
      <c r="S71" s="135">
        <v>0</v>
      </c>
      <c r="T71" s="135">
        <v>0.28253</v>
      </c>
      <c r="U71" s="135">
        <v>0</v>
      </c>
      <c r="V71" s="135">
        <v>0.18124999999999999</v>
      </c>
      <c r="W71" s="135">
        <v>0.13704</v>
      </c>
      <c r="X71" s="135">
        <v>0.26726</v>
      </c>
      <c r="Y71" s="135">
        <v>1.0749999999999999E-2</v>
      </c>
      <c r="Z71" s="135">
        <v>0</v>
      </c>
      <c r="AA71" s="135">
        <v>0</v>
      </c>
      <c r="AB71" s="135">
        <v>0.54827999999999999</v>
      </c>
      <c r="AC71" s="135">
        <v>0.68284999999999996</v>
      </c>
      <c r="AD71" s="135">
        <v>0.62075999999999998</v>
      </c>
      <c r="AE71" s="135">
        <v>0.57755999999999996</v>
      </c>
      <c r="AF71" s="135">
        <v>-0.20860999999999999</v>
      </c>
      <c r="AG71" s="135">
        <v>-1.8</v>
      </c>
      <c r="AH71" s="135">
        <v>0.76183800000000002</v>
      </c>
      <c r="AI71" s="135">
        <v>0.70342400000000005</v>
      </c>
      <c r="AJ71" s="135">
        <v>3.0193000000000001E-2</v>
      </c>
      <c r="AK71" s="135">
        <v>0.33254400000000001</v>
      </c>
    </row>
    <row r="72" spans="1:37" x14ac:dyDescent="0.25">
      <c r="A72" s="179" t="s">
        <v>167</v>
      </c>
      <c r="B72" s="90">
        <v>1</v>
      </c>
      <c r="C72" s="171">
        <v>978.35411499999998</v>
      </c>
      <c r="D72" s="135">
        <v>73.750894000000002</v>
      </c>
      <c r="E72" s="135">
        <v>2.9352559999999999</v>
      </c>
      <c r="F72" s="135">
        <v>0.30479099999999998</v>
      </c>
      <c r="G72" s="135">
        <f>60/E72</f>
        <v>20.441147211691248</v>
      </c>
      <c r="H72" s="135">
        <v>1.303375</v>
      </c>
      <c r="I72" s="135">
        <v>1.6083519737</v>
      </c>
      <c r="J72" s="135">
        <v>0.81037920890000004</v>
      </c>
      <c r="K72" s="135">
        <v>123.75</v>
      </c>
      <c r="L72" s="135">
        <v>0.41345999999999999</v>
      </c>
      <c r="M72" s="135">
        <v>5.0899999999999999E-3</v>
      </c>
      <c r="N72" s="135">
        <v>0.21328</v>
      </c>
      <c r="O72" s="135">
        <v>0.11198</v>
      </c>
      <c r="P72" s="135">
        <v>0.11537</v>
      </c>
      <c r="Q72" s="135">
        <v>2.8300000000000001E-3</v>
      </c>
      <c r="R72" s="135">
        <v>0</v>
      </c>
      <c r="S72" s="135">
        <v>0</v>
      </c>
      <c r="T72" s="135">
        <v>0.13866000000000001</v>
      </c>
      <c r="U72" s="135">
        <v>0</v>
      </c>
      <c r="V72" s="135">
        <v>0.18382000000000001</v>
      </c>
      <c r="W72" s="135">
        <v>0.19736000000000001</v>
      </c>
      <c r="X72" s="135">
        <v>0.33537</v>
      </c>
      <c r="Y72" s="135">
        <v>5.6600000000000001E-3</v>
      </c>
      <c r="Z72" s="135">
        <v>1.1299999999999999E-3</v>
      </c>
      <c r="AA72" s="135">
        <v>0</v>
      </c>
      <c r="AB72" s="135">
        <v>0.54191</v>
      </c>
      <c r="AC72" s="135">
        <v>0.69930000000000003</v>
      </c>
      <c r="AD72" s="135">
        <v>0.61236999999999997</v>
      </c>
      <c r="AE72" s="135">
        <v>0.54227999999999998</v>
      </c>
      <c r="AF72" s="135">
        <v>-0.19070000000000001</v>
      </c>
      <c r="AG72" s="135">
        <v>-1.818182</v>
      </c>
      <c r="AH72" s="135">
        <v>0.76449500000000004</v>
      </c>
      <c r="AI72" s="135">
        <v>0.80138900000000002</v>
      </c>
      <c r="AJ72" s="135">
        <v>5.0222999999999997E-2</v>
      </c>
      <c r="AK72" s="135">
        <v>0.41988199999999998</v>
      </c>
    </row>
    <row r="73" spans="1:37" x14ac:dyDescent="0.25">
      <c r="A73" s="179" t="s">
        <v>168</v>
      </c>
      <c r="B73" s="90">
        <v>1</v>
      </c>
      <c r="C73" s="171">
        <v>916.20205999999996</v>
      </c>
      <c r="D73" s="135">
        <v>21.077725000000001</v>
      </c>
      <c r="E73" s="135">
        <v>4.0789059999999999</v>
      </c>
      <c r="F73" s="135">
        <v>0.69010000000000005</v>
      </c>
      <c r="G73" s="135">
        <f>60/E73</f>
        <v>14.709826605467251</v>
      </c>
      <c r="H73" s="135">
        <v>2.2135936073</v>
      </c>
      <c r="I73" s="135">
        <v>1.7890091323999999</v>
      </c>
      <c r="J73" s="135">
        <v>1.2373294061</v>
      </c>
      <c r="K73" s="135">
        <v>26.73</v>
      </c>
      <c r="L73" s="135">
        <v>0.40755999999999998</v>
      </c>
      <c r="M73" s="135">
        <v>0</v>
      </c>
      <c r="N73" s="135">
        <v>0.32563999999999999</v>
      </c>
      <c r="O73" s="135">
        <v>8.1869999999999998E-2</v>
      </c>
      <c r="P73" s="135">
        <v>8.3019999999999997E-2</v>
      </c>
      <c r="Q73" s="135">
        <v>5.6999999999999998E-4</v>
      </c>
      <c r="R73" s="135">
        <v>0</v>
      </c>
      <c r="S73" s="135">
        <v>0</v>
      </c>
      <c r="T73" s="135">
        <v>0.22262000000000001</v>
      </c>
      <c r="U73" s="135">
        <v>0</v>
      </c>
      <c r="V73" s="135">
        <v>0.26784000000000002</v>
      </c>
      <c r="W73" s="135">
        <v>0.15229000000000001</v>
      </c>
      <c r="X73" s="135">
        <v>0.24676000000000001</v>
      </c>
      <c r="Y73" s="135">
        <v>3.4399999999999999E-3</v>
      </c>
      <c r="Z73" s="135">
        <v>4.0099999999999997E-3</v>
      </c>
      <c r="AA73" s="135">
        <v>1.72E-3</v>
      </c>
      <c r="AB73" s="135">
        <v>0.56011</v>
      </c>
      <c r="AC73" s="135">
        <v>0.69174000000000002</v>
      </c>
      <c r="AD73" s="135">
        <v>0.60560000000000003</v>
      </c>
      <c r="AE73" s="135">
        <v>0.55932999999999999</v>
      </c>
      <c r="AF73" s="135">
        <v>-0.26502999999999999</v>
      </c>
      <c r="AG73" s="135">
        <v>-1.872727</v>
      </c>
      <c r="AH73" s="135">
        <v>0.67513900000000004</v>
      </c>
      <c r="AI73" s="135">
        <v>0.62141500000000005</v>
      </c>
      <c r="AJ73" s="135">
        <v>3.4564999999999999E-2</v>
      </c>
      <c r="AK73" s="135">
        <v>0.285661</v>
      </c>
    </row>
    <row r="74" spans="1:37" x14ac:dyDescent="0.25">
      <c r="A74" s="179" t="s">
        <v>169</v>
      </c>
      <c r="B74" s="90">
        <v>1</v>
      </c>
      <c r="C74" s="171">
        <v>727.33703300000002</v>
      </c>
      <c r="D74" s="135">
        <v>39.765596000000002</v>
      </c>
      <c r="E74" s="135">
        <v>2.668415</v>
      </c>
      <c r="F74" s="135">
        <v>0.382826</v>
      </c>
      <c r="G74" s="135">
        <f>60/E74</f>
        <v>22.485258102656445</v>
      </c>
      <c r="H74" s="135">
        <v>2.4630895522</v>
      </c>
      <c r="I74" s="135">
        <v>2.8925223881000002</v>
      </c>
      <c r="J74" s="135">
        <v>0.85153690159999995</v>
      </c>
      <c r="K74" s="135">
        <v>46.84</v>
      </c>
      <c r="L74" s="135">
        <v>0.38690999999999998</v>
      </c>
      <c r="M74" s="135">
        <v>2.2399999999999998E-3</v>
      </c>
      <c r="N74" s="135">
        <v>0.2576</v>
      </c>
      <c r="O74" s="135">
        <v>0.12148</v>
      </c>
      <c r="P74" s="135">
        <v>0.12372</v>
      </c>
      <c r="Q74" s="135">
        <v>0</v>
      </c>
      <c r="R74" s="135">
        <v>0</v>
      </c>
      <c r="S74" s="135">
        <v>0</v>
      </c>
      <c r="T74" s="135">
        <v>0.19766</v>
      </c>
      <c r="U74" s="135">
        <v>0</v>
      </c>
      <c r="V74" s="135">
        <v>0.20776</v>
      </c>
      <c r="W74" s="135">
        <v>0.16852</v>
      </c>
      <c r="X74" s="135">
        <v>0.26315</v>
      </c>
      <c r="Y74" s="135">
        <v>4.8129999999999999E-2</v>
      </c>
      <c r="Z74" s="135">
        <v>3.9199999999999999E-3</v>
      </c>
      <c r="AA74" s="135">
        <v>2.8E-3</v>
      </c>
      <c r="AB74" s="135">
        <v>0.61194000000000004</v>
      </c>
      <c r="AC74" s="135">
        <v>0.74226999999999999</v>
      </c>
      <c r="AD74" s="135">
        <v>0.66581999999999997</v>
      </c>
      <c r="AE74" s="135">
        <v>0.60724999999999996</v>
      </c>
      <c r="AF74" s="135">
        <v>-0.26146999999999998</v>
      </c>
      <c r="AG74" s="135">
        <v>-1.181818</v>
      </c>
      <c r="AH74" s="135">
        <v>0.64596600000000004</v>
      </c>
      <c r="AI74" s="135">
        <v>0.63080700000000001</v>
      </c>
      <c r="AJ74" s="135">
        <v>6.5917000000000003E-2</v>
      </c>
      <c r="AK74" s="135">
        <v>0.24440200000000001</v>
      </c>
    </row>
    <row r="75" spans="1:37" x14ac:dyDescent="0.25">
      <c r="A75" s="179" t="s">
        <v>170</v>
      </c>
      <c r="B75" s="90">
        <v>1</v>
      </c>
      <c r="C75" s="171">
        <v>744.84906999999998</v>
      </c>
      <c r="D75" s="135">
        <v>21.473624999999998</v>
      </c>
      <c r="E75" s="135">
        <v>3.3161960000000001</v>
      </c>
      <c r="F75" s="135">
        <v>0.353404</v>
      </c>
      <c r="G75" s="135">
        <f>60/E75</f>
        <v>18.093019833568341</v>
      </c>
      <c r="H75" s="135">
        <v>4.8512899628000001</v>
      </c>
      <c r="I75" s="135">
        <v>1.5482379181999999</v>
      </c>
      <c r="J75" s="135">
        <v>3.1334266560000001</v>
      </c>
      <c r="K75" s="135">
        <v>38.340000000000003</v>
      </c>
      <c r="L75" s="135">
        <v>0.40111999999999998</v>
      </c>
      <c r="M75" s="135">
        <v>0</v>
      </c>
      <c r="N75" s="135">
        <v>0.27829999999999999</v>
      </c>
      <c r="O75" s="135">
        <v>9.8599999999999993E-2</v>
      </c>
      <c r="P75" s="135">
        <v>9.8610000000000003E-2</v>
      </c>
      <c r="Q75" s="135">
        <v>0</v>
      </c>
      <c r="R75" s="135">
        <v>0</v>
      </c>
      <c r="S75" s="135">
        <v>0</v>
      </c>
      <c r="T75" s="135">
        <v>0.18142</v>
      </c>
      <c r="U75" s="135">
        <v>0</v>
      </c>
      <c r="V75" s="135">
        <v>0.21745999999999999</v>
      </c>
      <c r="W75" s="135">
        <v>0.14762</v>
      </c>
      <c r="X75" s="135">
        <v>0.28111999999999998</v>
      </c>
      <c r="Y75" s="135">
        <v>4.2819999999999997E-2</v>
      </c>
      <c r="Z75" s="135">
        <v>3.3800000000000002E-3</v>
      </c>
      <c r="AA75" s="135">
        <v>2.82E-3</v>
      </c>
      <c r="AB75" s="135">
        <v>0.57171000000000005</v>
      </c>
      <c r="AC75" s="135">
        <v>0.71326999999999996</v>
      </c>
      <c r="AD75" s="135">
        <v>0.63932</v>
      </c>
      <c r="AE75" s="135">
        <v>0.58399999999999996</v>
      </c>
      <c r="AF75" s="135">
        <v>-0.27248</v>
      </c>
      <c r="AG75" s="135">
        <v>-1.436364</v>
      </c>
      <c r="AH75" s="135">
        <v>0.72252899999999998</v>
      </c>
      <c r="AI75" s="135">
        <v>0.56968600000000003</v>
      </c>
      <c r="AJ75" s="135">
        <v>4.8760999999999999E-2</v>
      </c>
      <c r="AK75" s="135">
        <v>0.18624499999999999</v>
      </c>
    </row>
    <row r="76" spans="1:37" x14ac:dyDescent="0.25">
      <c r="A76" s="179" t="s">
        <v>171</v>
      </c>
      <c r="B76" s="90">
        <v>1</v>
      </c>
      <c r="C76" s="171">
        <v>808.76781300000005</v>
      </c>
      <c r="D76" s="135">
        <v>58.669746000000004</v>
      </c>
      <c r="E76" s="135">
        <v>3.125143</v>
      </c>
      <c r="F76" s="135">
        <v>0.40388200000000002</v>
      </c>
      <c r="G76" s="135">
        <f>60/E76</f>
        <v>19.199121448202529</v>
      </c>
      <c r="H76" s="135">
        <v>2.131086351</v>
      </c>
      <c r="I76" s="135">
        <v>2.9978272980999998</v>
      </c>
      <c r="J76" s="135">
        <v>0.71087695819999996</v>
      </c>
      <c r="K76" s="135">
        <v>53.19</v>
      </c>
      <c r="L76" s="135">
        <v>0.24543000000000001</v>
      </c>
      <c r="M76" s="135">
        <v>0</v>
      </c>
      <c r="N76" s="135">
        <v>0.30736999999999998</v>
      </c>
      <c r="O76" s="135">
        <v>0.18043999999999999</v>
      </c>
      <c r="P76" s="135">
        <v>0.10603</v>
      </c>
      <c r="Q76" s="135">
        <v>7.4410000000000004E-2</v>
      </c>
      <c r="R76" s="135">
        <v>0</v>
      </c>
      <c r="S76" s="135">
        <v>0</v>
      </c>
      <c r="T76" s="135">
        <v>0.25263999999999998</v>
      </c>
      <c r="U76" s="135">
        <v>5.5999999999999995E-4</v>
      </c>
      <c r="V76" s="135">
        <v>0.26450000000000001</v>
      </c>
      <c r="W76" s="135">
        <v>0.14157</v>
      </c>
      <c r="X76" s="135">
        <v>0.21604999999999999</v>
      </c>
      <c r="Y76" s="135">
        <v>3.5540000000000002E-2</v>
      </c>
      <c r="Z76" s="135">
        <v>2.2599999999999999E-3</v>
      </c>
      <c r="AA76" s="135">
        <v>5.6999999999999998E-4</v>
      </c>
      <c r="AB76" s="135">
        <v>0.66329000000000005</v>
      </c>
      <c r="AC76" s="135">
        <v>0.76693999999999996</v>
      </c>
      <c r="AD76" s="135">
        <v>0.70126999999999995</v>
      </c>
      <c r="AE76" s="135">
        <v>0.63710999999999995</v>
      </c>
      <c r="AF76" s="135">
        <v>-0.35085</v>
      </c>
      <c r="AG76" s="135">
        <v>-3.6364E-2</v>
      </c>
      <c r="AH76" s="135">
        <v>0.637575</v>
      </c>
      <c r="AI76" s="135">
        <v>0.56059199999999998</v>
      </c>
      <c r="AJ76" s="135">
        <v>0.13420799999999999</v>
      </c>
      <c r="AK76" s="135">
        <v>0.12526999999999999</v>
      </c>
    </row>
    <row r="77" spans="1:37" x14ac:dyDescent="0.25">
      <c r="A77" s="179" t="s">
        <v>172</v>
      </c>
      <c r="B77" s="90">
        <v>1</v>
      </c>
      <c r="C77" s="171">
        <v>683.54278799999997</v>
      </c>
      <c r="D77" s="135">
        <v>37.174861999999997</v>
      </c>
      <c r="E77" s="135">
        <v>3.702725</v>
      </c>
      <c r="F77" s="135">
        <v>0.416466</v>
      </c>
      <c r="G77" s="135">
        <f>60/E77</f>
        <v>16.204281981513613</v>
      </c>
      <c r="H77" s="135">
        <v>5.3305875</v>
      </c>
      <c r="I77" s="135">
        <v>1.6515833333000001</v>
      </c>
      <c r="J77" s="135">
        <v>3.2275619354999998</v>
      </c>
      <c r="K77" s="135">
        <v>45.34</v>
      </c>
      <c r="L77" s="135">
        <v>0.42393999999999998</v>
      </c>
      <c r="M77" s="135">
        <v>2.2699999999999999E-3</v>
      </c>
      <c r="N77" s="135">
        <v>0.27722999999999998</v>
      </c>
      <c r="O77" s="135">
        <v>9.3020000000000005E-2</v>
      </c>
      <c r="P77" s="135">
        <v>9.2979999999999993E-2</v>
      </c>
      <c r="Q77" s="135">
        <v>4.0000000000000003E-5</v>
      </c>
      <c r="R77" s="135">
        <v>0</v>
      </c>
      <c r="S77" s="135">
        <v>0</v>
      </c>
      <c r="T77" s="135">
        <v>0.19844000000000001</v>
      </c>
      <c r="U77" s="135">
        <v>0</v>
      </c>
      <c r="V77" s="135">
        <v>0.24944</v>
      </c>
      <c r="W77" s="135">
        <v>0.15701999999999999</v>
      </c>
      <c r="X77" s="135">
        <v>0.26640999999999998</v>
      </c>
      <c r="Y77" s="135">
        <v>1.5879999999999998E-2</v>
      </c>
      <c r="Z77" s="135">
        <v>5.6999999999999998E-4</v>
      </c>
      <c r="AA77" s="135">
        <v>1.6999999999999999E-3</v>
      </c>
      <c r="AB77" s="135">
        <v>0.56089999999999995</v>
      </c>
      <c r="AC77" s="135">
        <v>0.70689000000000002</v>
      </c>
      <c r="AD77" s="135">
        <v>0.61641999999999997</v>
      </c>
      <c r="AE77" s="135">
        <v>0.56476000000000004</v>
      </c>
      <c r="AF77" s="135">
        <v>-0.28981000000000001</v>
      </c>
      <c r="AG77" s="135">
        <v>-1.9090910000000001</v>
      </c>
      <c r="AH77" s="135">
        <v>0.711843</v>
      </c>
      <c r="AI77" s="135">
        <v>0.56820599999999999</v>
      </c>
      <c r="AJ77" s="135">
        <v>4.2025E-2</v>
      </c>
      <c r="AK77" s="135">
        <v>0.258662</v>
      </c>
    </row>
    <row r="78" spans="1:37" x14ac:dyDescent="0.25">
      <c r="A78" s="184" t="s">
        <v>390</v>
      </c>
      <c r="B78" s="90">
        <v>1</v>
      </c>
      <c r="C78" s="171">
        <v>703.24077399999999</v>
      </c>
      <c r="D78" s="135">
        <v>44.782899999999998</v>
      </c>
      <c r="E78" s="135">
        <v>4.7248510000000001</v>
      </c>
      <c r="F78" s="135">
        <v>1.313388</v>
      </c>
      <c r="G78" s="135">
        <f>60/E78</f>
        <v>12.698813147758521</v>
      </c>
      <c r="H78" s="135">
        <v>7.0167668393999998</v>
      </c>
      <c r="I78" s="135">
        <v>2.4369844559999998</v>
      </c>
      <c r="J78" s="135">
        <v>2.8792825584999999</v>
      </c>
      <c r="K78" s="135">
        <v>55.23</v>
      </c>
      <c r="L78" s="135">
        <v>0.38673000000000002</v>
      </c>
      <c r="M78" s="135">
        <v>0</v>
      </c>
      <c r="N78" s="135">
        <v>0.37473000000000001</v>
      </c>
      <c r="O78" s="135">
        <v>6.5890000000000004E-2</v>
      </c>
      <c r="P78" s="135">
        <v>6.5890000000000004E-2</v>
      </c>
      <c r="Q78" s="135">
        <v>0</v>
      </c>
      <c r="R78" s="135">
        <v>0</v>
      </c>
      <c r="S78" s="135">
        <v>0</v>
      </c>
      <c r="T78" s="135">
        <v>0.30487999999999998</v>
      </c>
      <c r="U78" s="135">
        <v>0</v>
      </c>
      <c r="V78" s="135">
        <v>0.22489000000000001</v>
      </c>
      <c r="W78" s="135">
        <v>0.11814</v>
      </c>
      <c r="X78" s="135">
        <v>0.22375999999999999</v>
      </c>
      <c r="Y78" s="135">
        <v>1.5900000000000001E-2</v>
      </c>
      <c r="Z78" s="135">
        <v>2.8400000000000001E-3</v>
      </c>
      <c r="AA78" s="135">
        <v>2.8400000000000001E-3</v>
      </c>
      <c r="AB78" s="135">
        <v>0.54806999999999995</v>
      </c>
      <c r="AC78" s="135">
        <v>0.68774000000000002</v>
      </c>
      <c r="AD78" s="135">
        <v>0.59680999999999995</v>
      </c>
      <c r="AE78" s="135">
        <v>0.55091999999999997</v>
      </c>
      <c r="AF78" s="135">
        <v>-0.30763000000000001</v>
      </c>
      <c r="AG78" s="135">
        <v>-1.763636</v>
      </c>
      <c r="AH78" s="135">
        <v>0.60384700000000002</v>
      </c>
      <c r="AI78" s="135">
        <v>0.62942500000000001</v>
      </c>
      <c r="AJ78" s="135">
        <v>4.0181000000000001E-2</v>
      </c>
      <c r="AK78" s="135">
        <v>0.281472</v>
      </c>
    </row>
    <row r="79" spans="1:37" x14ac:dyDescent="0.25">
      <c r="A79" s="179" t="s">
        <v>174</v>
      </c>
      <c r="B79" s="90">
        <v>1</v>
      </c>
      <c r="C79" s="171">
        <v>771.95174699999995</v>
      </c>
      <c r="D79" s="135">
        <v>72.550476000000003</v>
      </c>
      <c r="E79" s="135">
        <v>3.2440929999999999</v>
      </c>
      <c r="F79" s="135">
        <v>0.87585800000000003</v>
      </c>
      <c r="G79" s="135">
        <f>60/E79</f>
        <v>18.495154115495456</v>
      </c>
      <c r="H79" s="135">
        <v>4.5076021126999999</v>
      </c>
      <c r="I79" s="135">
        <v>1.3836302816999999</v>
      </c>
      <c r="J79" s="135">
        <v>3.2578082254999998</v>
      </c>
      <c r="K79" s="135">
        <v>91.21</v>
      </c>
      <c r="L79" s="135">
        <v>0.38488</v>
      </c>
      <c r="M79" s="135">
        <v>0</v>
      </c>
      <c r="N79" s="135">
        <v>0.29067999999999999</v>
      </c>
      <c r="O79" s="135">
        <v>9.7049999999999997E-2</v>
      </c>
      <c r="P79" s="135">
        <v>9.7049999999999997E-2</v>
      </c>
      <c r="Q79" s="135">
        <v>0</v>
      </c>
      <c r="R79" s="135">
        <v>0</v>
      </c>
      <c r="S79" s="135">
        <v>0</v>
      </c>
      <c r="T79" s="135">
        <v>0.20322000000000001</v>
      </c>
      <c r="U79" s="135">
        <v>0</v>
      </c>
      <c r="V79" s="135">
        <v>0.20204</v>
      </c>
      <c r="W79" s="135">
        <v>0.15573000000000001</v>
      </c>
      <c r="X79" s="135">
        <v>0.28212999999999999</v>
      </c>
      <c r="Y79" s="135">
        <v>2.4830000000000001E-2</v>
      </c>
      <c r="Z79" s="135">
        <v>1.1299999999999999E-3</v>
      </c>
      <c r="AA79" s="135">
        <v>5.6999999999999998E-4</v>
      </c>
      <c r="AB79" s="135">
        <v>0.56120999999999999</v>
      </c>
      <c r="AC79" s="135">
        <v>0.68886000000000003</v>
      </c>
      <c r="AD79" s="135">
        <v>0.63793999999999995</v>
      </c>
      <c r="AE79" s="135">
        <v>0.58426</v>
      </c>
      <c r="AF79" s="135">
        <v>-0.27897</v>
      </c>
      <c r="AG79" s="135">
        <v>-1.890909</v>
      </c>
      <c r="AH79" s="135">
        <v>0.68059400000000003</v>
      </c>
      <c r="AI79" s="135">
        <v>0.67797099999999999</v>
      </c>
      <c r="AJ79" s="135">
        <v>3.2655000000000003E-2</v>
      </c>
      <c r="AK79" s="135">
        <v>0.340972</v>
      </c>
    </row>
    <row r="80" spans="1:37" x14ac:dyDescent="0.25">
      <c r="A80" s="179" t="s">
        <v>175</v>
      </c>
      <c r="B80" s="90">
        <v>1</v>
      </c>
      <c r="C80" s="171">
        <v>845.24146099999996</v>
      </c>
      <c r="D80" s="135">
        <v>53.130113000000001</v>
      </c>
      <c r="E80" s="135">
        <v>4.3345339999999997</v>
      </c>
      <c r="F80" s="135">
        <v>1.1387389999999999</v>
      </c>
      <c r="G80" s="135">
        <f>60/E80</f>
        <v>13.842318459146936</v>
      </c>
      <c r="H80" s="135">
        <v>6.2827129186999997</v>
      </c>
      <c r="I80" s="135">
        <v>2.0644354066999999</v>
      </c>
      <c r="J80" s="135">
        <v>3.043308063</v>
      </c>
      <c r="K80" s="135">
        <v>67.34</v>
      </c>
      <c r="L80" s="135">
        <v>0.38757000000000003</v>
      </c>
      <c r="M80" s="135">
        <v>0</v>
      </c>
      <c r="N80" s="135">
        <v>0.37452999999999997</v>
      </c>
      <c r="O80" s="135">
        <v>7.2900000000000006E-2</v>
      </c>
      <c r="P80" s="135">
        <v>7.2900000000000006E-2</v>
      </c>
      <c r="Q80" s="135">
        <v>0</v>
      </c>
      <c r="R80" s="135">
        <v>0</v>
      </c>
      <c r="S80" s="135">
        <v>0</v>
      </c>
      <c r="T80" s="135">
        <v>0.28356999999999999</v>
      </c>
      <c r="U80" s="135">
        <v>0</v>
      </c>
      <c r="V80" s="135">
        <v>0.30503000000000002</v>
      </c>
      <c r="W80" s="135">
        <v>9.8339999999999997E-2</v>
      </c>
      <c r="X80" s="135">
        <v>0.19101000000000001</v>
      </c>
      <c r="Y80" s="135">
        <v>2.3730000000000001E-2</v>
      </c>
      <c r="Z80" s="135">
        <v>6.2100000000000002E-3</v>
      </c>
      <c r="AA80" s="135">
        <v>0</v>
      </c>
      <c r="AB80" s="135">
        <v>0.56308000000000002</v>
      </c>
      <c r="AC80" s="135">
        <v>0.69887999999999995</v>
      </c>
      <c r="AD80" s="135">
        <v>0.58847000000000005</v>
      </c>
      <c r="AE80" s="135">
        <v>0.53434000000000004</v>
      </c>
      <c r="AF80" s="135">
        <v>-0.29239999999999999</v>
      </c>
      <c r="AG80" s="135">
        <v>-0.56363600000000003</v>
      </c>
      <c r="AH80" s="135">
        <v>0.46204000000000001</v>
      </c>
      <c r="AI80" s="135">
        <v>0.48675800000000002</v>
      </c>
      <c r="AJ80" s="135">
        <v>7.7814999999999995E-2</v>
      </c>
      <c r="AK80" s="135">
        <v>0.14050199999999999</v>
      </c>
    </row>
    <row r="81" spans="1:37" ht="15.75" thickBot="1" x14ac:dyDescent="0.3">
      <c r="A81" s="196" t="s">
        <v>176</v>
      </c>
      <c r="B81" s="147">
        <v>1</v>
      </c>
      <c r="C81" s="168">
        <v>872.45195000000001</v>
      </c>
      <c r="D81" s="140">
        <v>37.501885000000001</v>
      </c>
      <c r="E81" s="140">
        <v>3.7630710000000001</v>
      </c>
      <c r="F81" s="140">
        <v>0.74049200000000004</v>
      </c>
      <c r="G81" s="140">
        <f>60/E81</f>
        <v>15.944424115303697</v>
      </c>
      <c r="H81" s="140">
        <v>5.4546108786999996</v>
      </c>
      <c r="I81" s="140">
        <v>1.751958159</v>
      </c>
      <c r="J81" s="140">
        <v>3.1134367283</v>
      </c>
      <c r="K81" s="140">
        <v>27.87</v>
      </c>
      <c r="L81" s="140">
        <v>0.41188000000000002</v>
      </c>
      <c r="M81" s="140">
        <v>0</v>
      </c>
      <c r="N81" s="140">
        <v>0.32523999999999997</v>
      </c>
      <c r="O81" s="140">
        <v>8.838E-2</v>
      </c>
      <c r="P81" s="140">
        <v>8.838E-2</v>
      </c>
      <c r="Q81" s="140">
        <v>0</v>
      </c>
      <c r="R81" s="140">
        <v>0</v>
      </c>
      <c r="S81" s="140">
        <v>0</v>
      </c>
      <c r="T81" s="140">
        <v>0.30026999999999998</v>
      </c>
      <c r="U81" s="140">
        <v>0</v>
      </c>
      <c r="V81" s="140">
        <v>0.28216999999999998</v>
      </c>
      <c r="W81" s="140">
        <v>0.10538</v>
      </c>
      <c r="X81" s="140">
        <v>0.20735999999999999</v>
      </c>
      <c r="Y81" s="140">
        <v>1.5869999999999999E-2</v>
      </c>
      <c r="Z81" s="140">
        <v>1.6999999999999999E-3</v>
      </c>
      <c r="AA81" s="140">
        <v>1.1299999999999999E-3</v>
      </c>
      <c r="AB81" s="140">
        <v>0.57101000000000002</v>
      </c>
      <c r="AC81" s="140">
        <v>0.68788000000000005</v>
      </c>
      <c r="AD81" s="140">
        <v>0.60077000000000003</v>
      </c>
      <c r="AE81" s="140">
        <v>0.55310999999999999</v>
      </c>
      <c r="AF81" s="140">
        <v>-0.28283999999999998</v>
      </c>
      <c r="AG81" s="140">
        <v>-1.2</v>
      </c>
      <c r="AH81" s="140">
        <v>0.65654599999999996</v>
      </c>
      <c r="AI81" s="140">
        <v>0.571071</v>
      </c>
      <c r="AJ81" s="140">
        <v>6.3749E-2</v>
      </c>
      <c r="AK81" s="140">
        <v>0.23189199999999999</v>
      </c>
    </row>
    <row r="82" spans="1:37" x14ac:dyDescent="0.25">
      <c r="A82" s="197" t="s">
        <v>177</v>
      </c>
      <c r="B82" s="145">
        <v>2</v>
      </c>
      <c r="C82" s="177">
        <v>892.64976200000001</v>
      </c>
      <c r="D82" s="148">
        <v>53.969532000000001</v>
      </c>
      <c r="E82" s="148">
        <v>3.6958690000000001</v>
      </c>
      <c r="F82" s="148">
        <v>0.35825000000000001</v>
      </c>
      <c r="G82" s="148">
        <f>60/E82</f>
        <v>16.23434163927347</v>
      </c>
      <c r="H82" s="148">
        <v>5.6748346773999998</v>
      </c>
      <c r="I82" s="148">
        <v>1.9875443548</v>
      </c>
      <c r="J82" s="148">
        <v>2.8551990115999999</v>
      </c>
      <c r="K82" s="148">
        <v>24.87</v>
      </c>
      <c r="L82" s="148">
        <v>0.37646000000000002</v>
      </c>
      <c r="M82" s="148">
        <v>2.7399999999999998E-3</v>
      </c>
      <c r="N82" s="148">
        <v>0.30192999999999998</v>
      </c>
      <c r="O82" s="148">
        <v>9.4240000000000004E-2</v>
      </c>
      <c r="P82" s="148">
        <v>9.4240000000000004E-2</v>
      </c>
      <c r="Q82" s="148">
        <v>0</v>
      </c>
      <c r="R82" s="148">
        <v>0</v>
      </c>
      <c r="S82" s="148">
        <v>0</v>
      </c>
      <c r="T82" s="148">
        <v>0.19896</v>
      </c>
      <c r="U82" s="148">
        <v>0</v>
      </c>
      <c r="V82" s="148">
        <v>0.26467000000000002</v>
      </c>
      <c r="W82" s="148">
        <v>0.13314000000000001</v>
      </c>
      <c r="X82" s="148">
        <v>0.26352999999999999</v>
      </c>
      <c r="Y82" s="148">
        <v>6.5799999999999999E-3</v>
      </c>
      <c r="Z82" s="148">
        <v>1.1000000000000001E-3</v>
      </c>
      <c r="AA82" s="148">
        <v>1.64E-3</v>
      </c>
      <c r="AB82" s="148">
        <v>0.5373</v>
      </c>
      <c r="AC82" s="148">
        <v>0.68991999999999998</v>
      </c>
      <c r="AD82" s="148">
        <v>0.61023000000000005</v>
      </c>
      <c r="AE82" s="148">
        <v>0.55506</v>
      </c>
      <c r="AF82" s="148">
        <v>-0.28375</v>
      </c>
      <c r="AG82" s="148">
        <v>-1.3454550000000001</v>
      </c>
      <c r="AH82" s="148">
        <v>0.67961800000000006</v>
      </c>
      <c r="AI82" s="148">
        <v>0.57900099999999999</v>
      </c>
      <c r="AJ82" s="148">
        <v>6.1094000000000002E-2</v>
      </c>
      <c r="AK82" s="148">
        <v>0.20909</v>
      </c>
    </row>
    <row r="83" spans="1:37" x14ac:dyDescent="0.25">
      <c r="A83" s="186" t="s">
        <v>184</v>
      </c>
      <c r="B83" s="91">
        <v>2</v>
      </c>
      <c r="C83" s="178">
        <v>946.27826800000003</v>
      </c>
      <c r="D83" s="132">
        <v>37.845714000000001</v>
      </c>
      <c r="E83" s="132">
        <v>2.805755</v>
      </c>
      <c r="F83" s="132">
        <v>0.117872</v>
      </c>
      <c r="G83" s="132">
        <f>60/E83</f>
        <v>21.384618400394903</v>
      </c>
      <c r="H83" s="132">
        <v>1.2526360856000001</v>
      </c>
      <c r="I83" s="132">
        <v>1.5480856269000001</v>
      </c>
      <c r="J83" s="132">
        <v>0.80915167990000003</v>
      </c>
      <c r="K83" s="132">
        <v>67.34</v>
      </c>
      <c r="L83" s="132">
        <v>0.39398</v>
      </c>
      <c r="M83" s="132">
        <v>0</v>
      </c>
      <c r="N83" s="132">
        <v>0.28850999999999999</v>
      </c>
      <c r="O83" s="132">
        <v>0.10219</v>
      </c>
      <c r="P83" s="132">
        <v>0.10219</v>
      </c>
      <c r="Q83" s="132">
        <v>0</v>
      </c>
      <c r="R83" s="132">
        <v>0</v>
      </c>
      <c r="S83" s="132">
        <v>0</v>
      </c>
      <c r="T83" s="132">
        <v>0.25020999999999999</v>
      </c>
      <c r="U83" s="132">
        <v>0</v>
      </c>
      <c r="V83" s="132">
        <v>0.17816000000000001</v>
      </c>
      <c r="W83" s="132">
        <v>0.15739</v>
      </c>
      <c r="X83" s="132">
        <v>0.27761999999999998</v>
      </c>
      <c r="Y83" s="132">
        <v>2.1309999999999999E-2</v>
      </c>
      <c r="Z83" s="132">
        <v>1.64E-3</v>
      </c>
      <c r="AA83" s="132">
        <v>5.5000000000000003E-4</v>
      </c>
      <c r="AB83" s="132">
        <v>0.57845000000000002</v>
      </c>
      <c r="AC83" s="132">
        <v>0.69850999999999996</v>
      </c>
      <c r="AD83" s="132">
        <v>0.63997999999999999</v>
      </c>
      <c r="AE83" s="132">
        <v>0.58850000000000002</v>
      </c>
      <c r="AF83" s="132">
        <v>-0.33935999999999999</v>
      </c>
      <c r="AG83" s="132">
        <v>-1.9454549999999999</v>
      </c>
      <c r="AH83" s="132">
        <v>0.79503299999999999</v>
      </c>
      <c r="AI83" s="132">
        <v>0.71643400000000002</v>
      </c>
      <c r="AJ83" s="132">
        <v>3.5151000000000002E-2</v>
      </c>
      <c r="AK83" s="132">
        <v>0.35712100000000002</v>
      </c>
    </row>
    <row r="84" spans="1:37" x14ac:dyDescent="0.25">
      <c r="A84" s="186" t="s">
        <v>190</v>
      </c>
      <c r="B84" s="91">
        <v>2</v>
      </c>
      <c r="C84" s="178">
        <v>1020.709429</v>
      </c>
      <c r="D84" s="132">
        <v>78.879649000000001</v>
      </c>
      <c r="E84" s="132">
        <v>3.6827830000000001</v>
      </c>
      <c r="F84" s="132">
        <v>1.030381</v>
      </c>
      <c r="G84" s="132">
        <f>60/E84</f>
        <v>16.292026980682813</v>
      </c>
      <c r="H84" s="132">
        <v>1.8028287938000001</v>
      </c>
      <c r="I84" s="132">
        <v>3.3796536965000001</v>
      </c>
      <c r="J84" s="132">
        <v>0.53343595399999999</v>
      </c>
      <c r="K84" s="132">
        <v>89.45</v>
      </c>
      <c r="L84" s="132">
        <v>0.41637999999999997</v>
      </c>
      <c r="M84" s="132">
        <v>0</v>
      </c>
      <c r="N84" s="132">
        <v>0.27067999999999998</v>
      </c>
      <c r="O84" s="132">
        <v>9.4600000000000004E-2</v>
      </c>
      <c r="P84" s="132">
        <v>9.4600000000000004E-2</v>
      </c>
      <c r="Q84" s="132">
        <v>0</v>
      </c>
      <c r="R84" s="132">
        <v>0</v>
      </c>
      <c r="S84" s="132">
        <v>0</v>
      </c>
      <c r="T84" s="132">
        <v>0.20307</v>
      </c>
      <c r="U84" s="132">
        <v>0</v>
      </c>
      <c r="V84" s="132">
        <v>0.23376</v>
      </c>
      <c r="W84" s="132">
        <v>0.15343000000000001</v>
      </c>
      <c r="X84" s="132">
        <v>0.27664</v>
      </c>
      <c r="Y84" s="132">
        <v>6.0600000000000003E-3</v>
      </c>
      <c r="Z84" s="132">
        <v>1.65E-3</v>
      </c>
      <c r="AA84" s="132">
        <v>1.65E-3</v>
      </c>
      <c r="AB84" s="132">
        <v>0.54830000000000001</v>
      </c>
      <c r="AC84" s="132">
        <v>0.68345</v>
      </c>
      <c r="AD84" s="132">
        <v>0.61973</v>
      </c>
      <c r="AE84" s="132">
        <v>0.56859000000000004</v>
      </c>
      <c r="AF84" s="132">
        <v>-0.35124</v>
      </c>
      <c r="AG84" s="132">
        <v>-1.9636359999999999</v>
      </c>
      <c r="AH84" s="132">
        <v>0.66890799999999995</v>
      </c>
      <c r="AI84" s="132">
        <v>0.73475199999999996</v>
      </c>
      <c r="AJ84" s="132">
        <v>3.3888000000000001E-2</v>
      </c>
      <c r="AK84" s="132">
        <v>0.48168699999999998</v>
      </c>
    </row>
    <row r="85" spans="1:37" x14ac:dyDescent="0.25">
      <c r="A85" s="186" t="s">
        <v>196</v>
      </c>
      <c r="B85" s="91">
        <v>2</v>
      </c>
      <c r="C85" s="178">
        <v>1030.554177</v>
      </c>
      <c r="D85" s="132">
        <v>65.233913000000001</v>
      </c>
      <c r="E85" s="132">
        <v>4.2927999999999997</v>
      </c>
      <c r="F85" s="132">
        <v>1.2383109999999999</v>
      </c>
      <c r="G85" s="132">
        <f>60/E85</f>
        <v>13.976891539321656</v>
      </c>
      <c r="H85" s="132">
        <v>2.3080178570999998</v>
      </c>
      <c r="I85" s="132">
        <v>1.7631205356999999</v>
      </c>
      <c r="J85" s="132">
        <v>1.3090527904</v>
      </c>
      <c r="K85" s="132">
        <v>67.23</v>
      </c>
      <c r="L85" s="132">
        <v>0.37913999999999998</v>
      </c>
      <c r="M85" s="132">
        <v>0</v>
      </c>
      <c r="N85" s="132">
        <v>0.32643</v>
      </c>
      <c r="O85" s="132">
        <v>8.4040000000000004E-2</v>
      </c>
      <c r="P85" s="132">
        <v>8.4040000000000004E-2</v>
      </c>
      <c r="Q85" s="132">
        <v>0</v>
      </c>
      <c r="R85" s="132">
        <v>0</v>
      </c>
      <c r="S85" s="132">
        <v>0</v>
      </c>
      <c r="T85" s="132">
        <v>0.20566000000000001</v>
      </c>
      <c r="U85" s="132">
        <v>0</v>
      </c>
      <c r="V85" s="132">
        <v>0.27085999999999999</v>
      </c>
      <c r="W85" s="132">
        <v>0.13183</v>
      </c>
      <c r="X85" s="132">
        <v>0.25541999999999998</v>
      </c>
      <c r="Y85" s="132">
        <v>8.7899999999999992E-3</v>
      </c>
      <c r="Z85" s="132">
        <v>1.1000000000000001E-3</v>
      </c>
      <c r="AA85" s="132">
        <v>0</v>
      </c>
      <c r="AB85" s="132">
        <v>0.53244999999999998</v>
      </c>
      <c r="AC85" s="132">
        <v>0.66781000000000001</v>
      </c>
      <c r="AD85" s="132">
        <v>0.60299999999999998</v>
      </c>
      <c r="AE85" s="132">
        <v>0.54608999999999996</v>
      </c>
      <c r="AF85" s="132">
        <v>-0.29207</v>
      </c>
      <c r="AG85" s="132">
        <v>-1.9454549999999999</v>
      </c>
      <c r="AH85" s="132">
        <v>0.72988500000000001</v>
      </c>
      <c r="AI85" s="132">
        <v>0.66671199999999997</v>
      </c>
      <c r="AJ85" s="132">
        <v>1.942E-2</v>
      </c>
      <c r="AK85" s="132">
        <v>0.33050200000000002</v>
      </c>
    </row>
    <row r="86" spans="1:37" x14ac:dyDescent="0.25">
      <c r="A86" s="186" t="s">
        <v>201</v>
      </c>
      <c r="B86" s="91">
        <v>2</v>
      </c>
      <c r="C86" s="178">
        <v>889.10206700000003</v>
      </c>
      <c r="D86" s="132">
        <v>31.026195000000001</v>
      </c>
      <c r="E86" s="132">
        <v>3.4030339999999999</v>
      </c>
      <c r="F86" s="132">
        <v>0.47336699999999998</v>
      </c>
      <c r="G86" s="132">
        <f>60/E86</f>
        <v>17.631325458399768</v>
      </c>
      <c r="H86" s="132">
        <v>1.3792564103</v>
      </c>
      <c r="I86" s="132">
        <v>1.9816080586</v>
      </c>
      <c r="J86" s="132">
        <v>0.69602886620000004</v>
      </c>
      <c r="K86" s="132">
        <v>36.31</v>
      </c>
      <c r="L86" s="132">
        <v>0.41450999999999999</v>
      </c>
      <c r="M86" s="132">
        <v>1.09E-3</v>
      </c>
      <c r="N86" s="132">
        <v>0.28072999999999998</v>
      </c>
      <c r="O86" s="132">
        <v>9.1759999999999994E-2</v>
      </c>
      <c r="P86" s="132">
        <v>9.1759999999999994E-2</v>
      </c>
      <c r="Q86" s="132">
        <v>1.09E-3</v>
      </c>
      <c r="R86" s="132">
        <v>0</v>
      </c>
      <c r="S86" s="132">
        <v>0</v>
      </c>
      <c r="T86" s="132">
        <v>0.18626999999999999</v>
      </c>
      <c r="U86" s="132">
        <v>0</v>
      </c>
      <c r="V86" s="132">
        <v>0.23702000000000001</v>
      </c>
      <c r="W86" s="132">
        <v>0.16328000000000001</v>
      </c>
      <c r="X86" s="132">
        <v>0.27578000000000003</v>
      </c>
      <c r="Y86" s="132">
        <v>1.149E-2</v>
      </c>
      <c r="Z86" s="132">
        <v>2.1800000000000001E-3</v>
      </c>
      <c r="AA86" s="132">
        <v>4.9100000000000003E-3</v>
      </c>
      <c r="AB86" s="132">
        <v>0.56310000000000004</v>
      </c>
      <c r="AC86" s="132">
        <v>0.71528999999999998</v>
      </c>
      <c r="AD86" s="132">
        <v>0.62314000000000003</v>
      </c>
      <c r="AE86" s="132">
        <v>0.57071000000000005</v>
      </c>
      <c r="AF86" s="132">
        <v>-0.26789000000000002</v>
      </c>
      <c r="AG86" s="132">
        <v>-1.927273</v>
      </c>
      <c r="AH86" s="132">
        <v>0.73478200000000005</v>
      </c>
      <c r="AI86" s="132">
        <v>0.75811099999999998</v>
      </c>
      <c r="AJ86" s="132">
        <v>4.0369000000000002E-2</v>
      </c>
      <c r="AK86" s="132">
        <v>0.48037400000000002</v>
      </c>
    </row>
    <row r="87" spans="1:37" x14ac:dyDescent="0.25">
      <c r="A87" s="186" t="s">
        <v>208</v>
      </c>
      <c r="B87" s="91">
        <v>2</v>
      </c>
      <c r="C87" s="178">
        <v>1122.4554860000001</v>
      </c>
      <c r="D87" s="132">
        <v>54.857756000000002</v>
      </c>
      <c r="E87" s="132">
        <v>3.1653440000000002</v>
      </c>
      <c r="F87" s="132">
        <v>0.45784999999999998</v>
      </c>
      <c r="G87" s="132">
        <f>60/E87</f>
        <v>18.955285744614169</v>
      </c>
      <c r="H87" s="132">
        <v>1.3149246575</v>
      </c>
      <c r="I87" s="132">
        <v>1.8081575342</v>
      </c>
      <c r="J87" s="132">
        <v>0.72721797330000004</v>
      </c>
      <c r="K87" s="132">
        <v>59.22</v>
      </c>
      <c r="L87" s="132">
        <v>0.39683000000000002</v>
      </c>
      <c r="M87" s="132">
        <v>0</v>
      </c>
      <c r="N87" s="132">
        <v>0.26839000000000002</v>
      </c>
      <c r="O87" s="132">
        <v>0.10098</v>
      </c>
      <c r="P87" s="132">
        <v>0.10098</v>
      </c>
      <c r="Q87" s="132">
        <v>0</v>
      </c>
      <c r="R87" s="132">
        <v>0</v>
      </c>
      <c r="S87" s="132">
        <v>0</v>
      </c>
      <c r="T87" s="132">
        <v>0.21129000000000001</v>
      </c>
      <c r="U87" s="132">
        <v>0</v>
      </c>
      <c r="V87" s="132">
        <v>0.17018</v>
      </c>
      <c r="W87" s="132">
        <v>0.17343</v>
      </c>
      <c r="X87" s="132">
        <v>0.30459000000000003</v>
      </c>
      <c r="Y87" s="132">
        <v>4.9399999999999999E-3</v>
      </c>
      <c r="Z87" s="132">
        <v>5.5000000000000003E-4</v>
      </c>
      <c r="AA87" s="132">
        <v>2.2000000000000001E-3</v>
      </c>
      <c r="AB87" s="132">
        <v>0.55064000000000002</v>
      </c>
      <c r="AC87" s="132">
        <v>0.68493000000000004</v>
      </c>
      <c r="AD87" s="132">
        <v>0.63039000000000001</v>
      </c>
      <c r="AE87" s="132">
        <v>0.57269000000000003</v>
      </c>
      <c r="AF87" s="132">
        <v>-0.27960000000000002</v>
      </c>
      <c r="AG87" s="132">
        <v>-1.872727</v>
      </c>
      <c r="AH87" s="132">
        <v>0.68129300000000004</v>
      </c>
      <c r="AI87" s="132">
        <v>0.775868</v>
      </c>
      <c r="AJ87" s="132">
        <v>4.2131000000000002E-2</v>
      </c>
      <c r="AK87" s="132">
        <v>0.47938999999999998</v>
      </c>
    </row>
    <row r="88" spans="1:37" x14ac:dyDescent="0.25">
      <c r="A88" s="186" t="s">
        <v>215</v>
      </c>
      <c r="B88" s="91">
        <v>2</v>
      </c>
      <c r="C88" s="178">
        <v>879.44947000000002</v>
      </c>
      <c r="D88" s="132">
        <v>53.650818999999998</v>
      </c>
      <c r="E88" s="132">
        <v>3.0691109999999999</v>
      </c>
      <c r="F88" s="132">
        <v>0.54508299999999998</v>
      </c>
      <c r="G88" s="132">
        <f>60/E88</f>
        <v>19.549635057187569</v>
      </c>
      <c r="H88" s="132">
        <v>1.4652065573999999</v>
      </c>
      <c r="I88" s="132">
        <v>1.5409868851999999</v>
      </c>
      <c r="J88" s="132">
        <v>0.9508235089</v>
      </c>
      <c r="K88" s="132">
        <v>40.42</v>
      </c>
      <c r="L88" s="132">
        <v>0.38973999999999998</v>
      </c>
      <c r="M88" s="132">
        <v>1.09E-3</v>
      </c>
      <c r="N88" s="132">
        <v>0.26201000000000002</v>
      </c>
      <c r="O88" s="132">
        <v>0.10371</v>
      </c>
      <c r="P88" s="132">
        <v>0.10153</v>
      </c>
      <c r="Q88" s="132">
        <v>0</v>
      </c>
      <c r="R88" s="132">
        <v>0</v>
      </c>
      <c r="S88" s="132">
        <v>0</v>
      </c>
      <c r="T88" s="132">
        <v>0.15942000000000001</v>
      </c>
      <c r="U88" s="132">
        <v>0</v>
      </c>
      <c r="V88" s="132">
        <v>0.22212999999999999</v>
      </c>
      <c r="W88" s="132">
        <v>0.15667</v>
      </c>
      <c r="X88" s="132">
        <v>0.30021999999999999</v>
      </c>
      <c r="Y88" s="132">
        <v>1.528E-2</v>
      </c>
      <c r="Z88" s="132">
        <v>2.7299999999999998E-3</v>
      </c>
      <c r="AA88" s="132">
        <v>1.64E-3</v>
      </c>
      <c r="AB88" s="132">
        <v>0.54974000000000001</v>
      </c>
      <c r="AC88" s="132">
        <v>0.70967999999999998</v>
      </c>
      <c r="AD88" s="132">
        <v>0.62921000000000005</v>
      </c>
      <c r="AE88" s="132">
        <v>0.56852999999999998</v>
      </c>
      <c r="AF88" s="132">
        <v>-0.27451999999999999</v>
      </c>
      <c r="AG88" s="132">
        <v>-1.8363640000000001</v>
      </c>
      <c r="AH88" s="132">
        <v>0.699658</v>
      </c>
      <c r="AI88" s="132">
        <v>0.80686100000000005</v>
      </c>
      <c r="AJ88" s="132">
        <v>7.8100000000000003E-2</v>
      </c>
      <c r="AK88" s="132">
        <v>0.43441299999999999</v>
      </c>
    </row>
    <row r="89" spans="1:37" x14ac:dyDescent="0.25">
      <c r="A89" s="186" t="s">
        <v>222</v>
      </c>
      <c r="B89" s="91">
        <v>2</v>
      </c>
      <c r="C89" s="178">
        <v>784.11015299999997</v>
      </c>
      <c r="D89" s="132">
        <v>17.523499999999999</v>
      </c>
      <c r="E89" s="132">
        <v>5.684717</v>
      </c>
      <c r="F89" s="132">
        <v>0.84563100000000002</v>
      </c>
      <c r="G89" s="132">
        <f>60/E89</f>
        <v>10.554615119802797</v>
      </c>
      <c r="H89" s="132">
        <v>7.8800745342000003</v>
      </c>
      <c r="I89" s="132">
        <v>2.2531987577999999</v>
      </c>
      <c r="J89" s="132">
        <v>3.4972833652999999</v>
      </c>
      <c r="K89" s="132">
        <v>45.34</v>
      </c>
      <c r="L89" s="132">
        <v>0.41499999999999998</v>
      </c>
      <c r="M89" s="132">
        <v>0</v>
      </c>
      <c r="N89" s="132">
        <v>0.36969999999999997</v>
      </c>
      <c r="O89" s="132">
        <v>5.7419999999999999E-2</v>
      </c>
      <c r="P89" s="132">
        <v>5.7419999999999999E-2</v>
      </c>
      <c r="Q89" s="132">
        <v>0</v>
      </c>
      <c r="R89" s="132">
        <v>0</v>
      </c>
      <c r="S89" s="132">
        <v>0</v>
      </c>
      <c r="T89" s="132">
        <v>0.16721</v>
      </c>
      <c r="U89" s="132">
        <v>0</v>
      </c>
      <c r="V89" s="132">
        <v>0.25274000000000002</v>
      </c>
      <c r="W89" s="132">
        <v>0.16611000000000001</v>
      </c>
      <c r="X89" s="132">
        <v>0.25719999999999998</v>
      </c>
      <c r="Y89" s="132">
        <v>4.0820000000000002E-2</v>
      </c>
      <c r="Z89" s="132">
        <v>1.103E-2</v>
      </c>
      <c r="AA89" s="132">
        <v>4.4099999999999999E-3</v>
      </c>
      <c r="AB89" s="132">
        <v>0.57230999999999999</v>
      </c>
      <c r="AC89" s="132">
        <v>0.69871000000000005</v>
      </c>
      <c r="AD89" s="132">
        <v>0.60982999999999998</v>
      </c>
      <c r="AE89" s="132">
        <v>0.55627000000000004</v>
      </c>
      <c r="AF89" s="132">
        <v>-0.31347000000000003</v>
      </c>
      <c r="AG89" s="132">
        <v>-1.2909090000000001</v>
      </c>
      <c r="AH89" s="132">
        <v>0.55737499999999995</v>
      </c>
      <c r="AI89" s="132">
        <v>0.51016499999999998</v>
      </c>
      <c r="AJ89" s="132">
        <v>4.6396E-2</v>
      </c>
      <c r="AK89" s="132">
        <v>0.214473</v>
      </c>
    </row>
    <row r="90" spans="1:37" x14ac:dyDescent="0.25">
      <c r="A90" s="186" t="s">
        <v>227</v>
      </c>
      <c r="B90" s="91">
        <v>2</v>
      </c>
      <c r="C90" s="178">
        <v>777.26300900000001</v>
      </c>
      <c r="D90" s="132">
        <v>25.464773999999998</v>
      </c>
      <c r="E90" s="132">
        <v>3.4817480000000001</v>
      </c>
      <c r="F90" s="132">
        <v>0.82564099999999996</v>
      </c>
      <c r="G90" s="132">
        <f>60/E90</f>
        <v>17.232723333222278</v>
      </c>
      <c r="H90" s="132">
        <v>1.8450516605</v>
      </c>
      <c r="I90" s="132">
        <v>1.5205055351000001</v>
      </c>
      <c r="J90" s="132">
        <v>1.213446198</v>
      </c>
      <c r="K90" s="132">
        <v>19.059999999999999</v>
      </c>
      <c r="L90" s="132">
        <v>0.38663999999999998</v>
      </c>
      <c r="M90" s="132">
        <v>0</v>
      </c>
      <c r="N90" s="132">
        <v>0.33500999999999997</v>
      </c>
      <c r="O90" s="132">
        <v>9.3329999999999996E-2</v>
      </c>
      <c r="P90" s="132">
        <v>9.3329999999999996E-2</v>
      </c>
      <c r="Q90" s="132">
        <v>0</v>
      </c>
      <c r="R90" s="132">
        <v>0</v>
      </c>
      <c r="S90" s="132">
        <v>0</v>
      </c>
      <c r="T90" s="132">
        <v>0.24937000000000001</v>
      </c>
      <c r="U90" s="132">
        <v>0</v>
      </c>
      <c r="V90" s="132">
        <v>0.24879000000000001</v>
      </c>
      <c r="W90" s="132">
        <v>0.12519</v>
      </c>
      <c r="X90" s="132">
        <v>0.23884</v>
      </c>
      <c r="Y90" s="132">
        <v>3.7330000000000002E-2</v>
      </c>
      <c r="Z90" s="132">
        <v>4.3899999999999998E-3</v>
      </c>
      <c r="AA90" s="132">
        <v>4.3899999999999998E-3</v>
      </c>
      <c r="AB90" s="132">
        <v>0.59521999999999997</v>
      </c>
      <c r="AC90" s="132">
        <v>0.71667999999999998</v>
      </c>
      <c r="AD90" s="132">
        <v>0.62890999999999997</v>
      </c>
      <c r="AE90" s="132">
        <v>0.57915000000000005</v>
      </c>
      <c r="AF90" s="132">
        <v>-0.27755000000000002</v>
      </c>
      <c r="AG90" s="132">
        <v>-1.5818179999999999</v>
      </c>
      <c r="AH90" s="132">
        <v>0.58494199999999996</v>
      </c>
      <c r="AI90" s="132">
        <v>0.604267</v>
      </c>
      <c r="AJ90" s="132">
        <v>4.3834999999999999E-2</v>
      </c>
      <c r="AK90" s="132">
        <v>0.25595299999999999</v>
      </c>
    </row>
    <row r="91" spans="1:37" x14ac:dyDescent="0.25">
      <c r="A91" s="186" t="s">
        <v>231</v>
      </c>
      <c r="B91" s="91">
        <v>2</v>
      </c>
      <c r="C91" s="178">
        <v>1040.722966</v>
      </c>
      <c r="D91" s="132">
        <v>83.441056000000003</v>
      </c>
      <c r="E91" s="132">
        <v>4.4244500000000002</v>
      </c>
      <c r="F91" s="132">
        <v>1.042521</v>
      </c>
      <c r="G91" s="132">
        <f>60/E91</f>
        <v>13.561007582863406</v>
      </c>
      <c r="H91" s="132">
        <v>2.1282692308</v>
      </c>
      <c r="I91" s="132">
        <v>2.1120576923000001</v>
      </c>
      <c r="J91" s="132">
        <v>1.0076757082000001</v>
      </c>
      <c r="K91" s="132">
        <v>77.09</v>
      </c>
      <c r="L91" s="132">
        <v>0.44320999999999999</v>
      </c>
      <c r="M91" s="132">
        <v>0</v>
      </c>
      <c r="N91" s="132">
        <v>0.29968</v>
      </c>
      <c r="O91" s="132">
        <v>7.9460000000000003E-2</v>
      </c>
      <c r="P91" s="132">
        <v>7.9460000000000003E-2</v>
      </c>
      <c r="Q91" s="132">
        <v>0</v>
      </c>
      <c r="R91" s="132">
        <v>0</v>
      </c>
      <c r="S91" s="132">
        <v>0</v>
      </c>
      <c r="T91" s="132">
        <v>0.30984</v>
      </c>
      <c r="U91" s="132">
        <v>0</v>
      </c>
      <c r="V91" s="132">
        <v>0.19639999999999999</v>
      </c>
      <c r="W91" s="132">
        <v>0.14244000000000001</v>
      </c>
      <c r="X91" s="132">
        <v>0.24631</v>
      </c>
      <c r="Y91" s="132">
        <v>6.8300000000000001E-3</v>
      </c>
      <c r="Z91" s="132">
        <v>0</v>
      </c>
      <c r="AA91" s="132">
        <v>0</v>
      </c>
      <c r="AB91" s="132">
        <v>0.54420999999999997</v>
      </c>
      <c r="AC91" s="132">
        <v>0.65564999999999996</v>
      </c>
      <c r="AD91" s="132">
        <v>0.59436999999999995</v>
      </c>
      <c r="AE91" s="132">
        <v>0.55376999999999998</v>
      </c>
      <c r="AF91" s="132">
        <v>-0.30132999999999999</v>
      </c>
      <c r="AG91" s="132">
        <v>-1.9818180000000001</v>
      </c>
      <c r="AH91" s="132">
        <v>0.72185699999999997</v>
      </c>
      <c r="AI91" s="132">
        <v>0.69792600000000005</v>
      </c>
      <c r="AJ91" s="132">
        <v>2.3841999999999999E-2</v>
      </c>
      <c r="AK91" s="132">
        <v>0.41380499999999998</v>
      </c>
    </row>
    <row r="92" spans="1:37" x14ac:dyDescent="0.25">
      <c r="A92" s="186" t="s">
        <v>238</v>
      </c>
      <c r="B92" s="91">
        <v>2</v>
      </c>
      <c r="C92" s="178">
        <v>591.96113100000002</v>
      </c>
      <c r="D92" s="132">
        <v>20.391842</v>
      </c>
      <c r="E92" s="132">
        <v>5.048152</v>
      </c>
      <c r="F92" s="132">
        <v>0.69282900000000003</v>
      </c>
      <c r="G92" s="132">
        <f>60/E92</f>
        <v>11.885537519472472</v>
      </c>
      <c r="H92" s="132">
        <v>7.4743114754000004</v>
      </c>
      <c r="I92" s="132">
        <v>2.5061366120000002</v>
      </c>
      <c r="J92" s="132">
        <v>2.9824038480000001</v>
      </c>
      <c r="K92" s="132">
        <v>31.87</v>
      </c>
      <c r="L92" s="132">
        <v>0.41927999999999999</v>
      </c>
      <c r="M92" s="132">
        <v>0</v>
      </c>
      <c r="N92" s="132">
        <v>0.37151000000000001</v>
      </c>
      <c r="O92" s="132">
        <v>5.985E-2</v>
      </c>
      <c r="P92" s="132">
        <v>5.985E-2</v>
      </c>
      <c r="Q92" s="132">
        <v>1.0000000000000001E-5</v>
      </c>
      <c r="R92" s="132">
        <v>0</v>
      </c>
      <c r="S92" s="132">
        <v>0</v>
      </c>
      <c r="T92" s="132">
        <v>0.26722000000000001</v>
      </c>
      <c r="U92" s="132">
        <v>5.5000000000000003E-4</v>
      </c>
      <c r="V92" s="132">
        <v>0.24035000000000001</v>
      </c>
      <c r="W92" s="132">
        <v>0.11969</v>
      </c>
      <c r="X92" s="132">
        <v>0.20533999999999999</v>
      </c>
      <c r="Y92" s="132">
        <v>5.8700000000000002E-2</v>
      </c>
      <c r="Z92" s="132">
        <v>9.3299999999999998E-3</v>
      </c>
      <c r="AA92" s="132">
        <v>9.3299999999999998E-3</v>
      </c>
      <c r="AB92" s="132">
        <v>0.58914999999999995</v>
      </c>
      <c r="AC92" s="132">
        <v>0.72985</v>
      </c>
      <c r="AD92" s="132">
        <v>0.61582999999999999</v>
      </c>
      <c r="AE92" s="132">
        <v>0.56889999999999996</v>
      </c>
      <c r="AF92" s="132">
        <v>-0.55572999999999995</v>
      </c>
      <c r="AG92" s="132">
        <v>-0.96363600000000005</v>
      </c>
      <c r="AH92" s="132">
        <v>0.480852</v>
      </c>
      <c r="AI92" s="132">
        <v>0.45954</v>
      </c>
      <c r="AJ92" s="132">
        <v>5.7164E-2</v>
      </c>
      <c r="AK92" s="132">
        <v>0.14337</v>
      </c>
    </row>
    <row r="93" spans="1:37" x14ac:dyDescent="0.25">
      <c r="A93" s="186" t="s">
        <v>242</v>
      </c>
      <c r="B93" s="91">
        <v>2</v>
      </c>
      <c r="C93" s="178">
        <v>927.50825999999995</v>
      </c>
      <c r="D93" s="132">
        <v>47.838980999999997</v>
      </c>
      <c r="E93" s="132">
        <v>2.7403230000000001</v>
      </c>
      <c r="F93" s="132">
        <v>0.29441000000000001</v>
      </c>
      <c r="G93" s="132">
        <f>60/E93</f>
        <v>21.895229139046748</v>
      </c>
      <c r="H93" s="132">
        <v>1.1458184523999999</v>
      </c>
      <c r="I93" s="132">
        <v>1.5704374999999999</v>
      </c>
      <c r="J93" s="132">
        <v>0.7296173534</v>
      </c>
      <c r="K93" s="132">
        <v>40.78</v>
      </c>
      <c r="L93" s="132">
        <v>0.36698999999999998</v>
      </c>
      <c r="M93" s="132">
        <v>1.1000000000000001E-3</v>
      </c>
      <c r="N93" s="132">
        <v>0.24354999999999999</v>
      </c>
      <c r="O93" s="132">
        <v>0.11575000000000001</v>
      </c>
      <c r="P93" s="132">
        <v>0.11465</v>
      </c>
      <c r="Q93" s="132">
        <v>5.5000000000000003E-4</v>
      </c>
      <c r="R93" s="132">
        <v>0</v>
      </c>
      <c r="S93" s="132">
        <v>0</v>
      </c>
      <c r="T93" s="132">
        <v>0.16894000000000001</v>
      </c>
      <c r="U93" s="132">
        <v>0</v>
      </c>
      <c r="V93" s="132">
        <v>0.16566</v>
      </c>
      <c r="W93" s="132">
        <v>0.16238</v>
      </c>
      <c r="X93" s="132">
        <v>0.31979000000000002</v>
      </c>
      <c r="Y93" s="132">
        <v>2.196E-2</v>
      </c>
      <c r="Z93" s="132">
        <v>2.2000000000000001E-3</v>
      </c>
      <c r="AA93" s="132">
        <v>1.65E-3</v>
      </c>
      <c r="AB93" s="132">
        <v>0.55920000000000003</v>
      </c>
      <c r="AC93" s="132">
        <v>0.71531</v>
      </c>
      <c r="AD93" s="132">
        <v>0.65468000000000004</v>
      </c>
      <c r="AE93" s="132">
        <v>0.58440999999999999</v>
      </c>
      <c r="AF93" s="132">
        <v>-0.25390000000000001</v>
      </c>
      <c r="AG93" s="132">
        <v>-1.6363639999999999</v>
      </c>
      <c r="AH93" s="132">
        <v>0.70950100000000005</v>
      </c>
      <c r="AI93" s="132">
        <v>0.831202</v>
      </c>
      <c r="AJ93" s="132">
        <v>0.105688</v>
      </c>
      <c r="AK93" s="132">
        <v>0.44495000000000001</v>
      </c>
    </row>
    <row r="94" spans="1:37" x14ac:dyDescent="0.25">
      <c r="A94" s="186" t="s">
        <v>246</v>
      </c>
      <c r="B94" s="91">
        <v>2</v>
      </c>
      <c r="C94" s="178">
        <v>812.74411999999995</v>
      </c>
      <c r="D94" s="132">
        <v>39.937936000000001</v>
      </c>
      <c r="E94" s="132">
        <v>2.9873699999999999</v>
      </c>
      <c r="F94" s="132">
        <v>0.44123000000000001</v>
      </c>
      <c r="G94" s="132">
        <f>60/E94</f>
        <v>20.084555980678658</v>
      </c>
      <c r="H94" s="132">
        <v>1.3306848874999999</v>
      </c>
      <c r="I94" s="132">
        <v>1.6093086817</v>
      </c>
      <c r="J94" s="132">
        <v>0.82686740130000003</v>
      </c>
      <c r="K94" s="132">
        <v>52.31</v>
      </c>
      <c r="L94" s="132">
        <v>0.38040000000000002</v>
      </c>
      <c r="M94" s="132">
        <v>0</v>
      </c>
      <c r="N94" s="132">
        <v>0.24193000000000001</v>
      </c>
      <c r="O94" s="132">
        <v>0.11494</v>
      </c>
      <c r="P94" s="132">
        <v>0.11385000000000001</v>
      </c>
      <c r="Q94" s="132">
        <v>5.5000000000000003E-4</v>
      </c>
      <c r="R94" s="132">
        <v>0</v>
      </c>
      <c r="S94" s="132">
        <v>0</v>
      </c>
      <c r="T94" s="132">
        <v>0.13630999999999999</v>
      </c>
      <c r="U94" s="132">
        <v>0</v>
      </c>
      <c r="V94" s="132">
        <v>0.18937000000000001</v>
      </c>
      <c r="W94" s="132">
        <v>0.18226000000000001</v>
      </c>
      <c r="X94" s="132">
        <v>0.32457000000000003</v>
      </c>
      <c r="Y94" s="132">
        <v>1.806E-2</v>
      </c>
      <c r="Z94" s="132">
        <v>1.1000000000000001E-3</v>
      </c>
      <c r="AA94" s="132">
        <v>0</v>
      </c>
      <c r="AB94" s="132">
        <v>0.53759000000000001</v>
      </c>
      <c r="AC94" s="132">
        <v>0.68318999999999996</v>
      </c>
      <c r="AD94" s="132">
        <v>0.62107999999999997</v>
      </c>
      <c r="AE94" s="132">
        <v>0.55173000000000005</v>
      </c>
      <c r="AF94" s="132">
        <v>-0.25675999999999999</v>
      </c>
      <c r="AG94" s="132">
        <v>-1.9636359999999999</v>
      </c>
      <c r="AH94" s="132">
        <v>0.71662400000000004</v>
      </c>
      <c r="AI94" s="132">
        <v>0.78193900000000005</v>
      </c>
      <c r="AJ94" s="132">
        <v>5.4878000000000003E-2</v>
      </c>
      <c r="AK94" s="132">
        <v>0.502973</v>
      </c>
    </row>
    <row r="95" spans="1:37" x14ac:dyDescent="0.25">
      <c r="A95" s="186" t="s">
        <v>253</v>
      </c>
      <c r="B95" s="91">
        <v>2</v>
      </c>
      <c r="C95" s="178">
        <v>974.65770599999996</v>
      </c>
      <c r="D95" s="132">
        <v>56.829042000000001</v>
      </c>
      <c r="E95" s="132">
        <v>4.2481939999999998</v>
      </c>
      <c r="F95" s="132">
        <v>0.564662</v>
      </c>
      <c r="G95" s="132">
        <f>60/E95</f>
        <v>14.12364877875163</v>
      </c>
      <c r="H95" s="132">
        <v>6.1272442396000004</v>
      </c>
      <c r="I95" s="132">
        <v>1.9227603687000001</v>
      </c>
      <c r="J95" s="132">
        <v>3.1866915604999999</v>
      </c>
      <c r="K95" s="132">
        <v>34.869999999999997</v>
      </c>
      <c r="L95" s="132">
        <v>0.43435000000000001</v>
      </c>
      <c r="M95" s="132">
        <v>0</v>
      </c>
      <c r="N95" s="132">
        <v>0.29157</v>
      </c>
      <c r="O95" s="132">
        <v>8.2390000000000005E-2</v>
      </c>
      <c r="P95" s="132">
        <v>8.2390000000000005E-2</v>
      </c>
      <c r="Q95" s="132">
        <v>0</v>
      </c>
      <c r="R95" s="132">
        <v>0</v>
      </c>
      <c r="S95" s="132">
        <v>0</v>
      </c>
      <c r="T95" s="132">
        <v>0.26078000000000001</v>
      </c>
      <c r="U95" s="132">
        <v>0</v>
      </c>
      <c r="V95" s="132">
        <v>0.25696000000000002</v>
      </c>
      <c r="W95" s="132">
        <v>0.12687999999999999</v>
      </c>
      <c r="X95" s="132">
        <v>0.24057000000000001</v>
      </c>
      <c r="Y95" s="132">
        <v>3.3E-3</v>
      </c>
      <c r="Z95" s="132">
        <v>1.1000000000000001E-3</v>
      </c>
      <c r="AA95" s="132">
        <v>1.1000000000000001E-3</v>
      </c>
      <c r="AB95" s="132">
        <v>0.53183000000000002</v>
      </c>
      <c r="AC95" s="132">
        <v>0.66039000000000003</v>
      </c>
      <c r="AD95" s="132">
        <v>0.59443000000000001</v>
      </c>
      <c r="AE95" s="132">
        <v>0.55125999999999997</v>
      </c>
      <c r="AF95" s="132">
        <v>-0.29868</v>
      </c>
      <c r="AG95" s="132">
        <v>-1.9454549999999999</v>
      </c>
      <c r="AH95" s="132">
        <v>0.62995999999999996</v>
      </c>
      <c r="AI95" s="132">
        <v>0.63815999999999995</v>
      </c>
      <c r="AJ95" s="132">
        <v>3.4868999999999997E-2</v>
      </c>
      <c r="AK95" s="132">
        <v>0.30901400000000001</v>
      </c>
    </row>
    <row r="96" spans="1:37" x14ac:dyDescent="0.25">
      <c r="A96" s="186" t="s">
        <v>256</v>
      </c>
      <c r="B96" s="91">
        <v>2</v>
      </c>
      <c r="C96" s="178">
        <v>871.41696200000001</v>
      </c>
      <c r="D96" s="132">
        <v>36.634070000000001</v>
      </c>
      <c r="E96" s="132">
        <v>3.0411100000000002</v>
      </c>
      <c r="F96" s="132">
        <v>0.56291899999999995</v>
      </c>
      <c r="G96" s="132">
        <f>60/E96</f>
        <v>19.729638191318301</v>
      </c>
      <c r="H96" s="132">
        <v>4.3276557376999998</v>
      </c>
      <c r="I96" s="132">
        <v>1.3307704918000001</v>
      </c>
      <c r="J96" s="132">
        <v>3.2519925595000001</v>
      </c>
      <c r="K96" s="132">
        <v>28.27</v>
      </c>
      <c r="L96" s="132">
        <v>0.39301999999999998</v>
      </c>
      <c r="M96" s="132">
        <v>4.9199999999999999E-3</v>
      </c>
      <c r="N96" s="132">
        <v>0.25235000000000002</v>
      </c>
      <c r="O96" s="132">
        <v>0.10508000000000001</v>
      </c>
      <c r="P96" s="132">
        <v>0.1018</v>
      </c>
      <c r="Q96" s="132">
        <v>2.7399999999999998E-3</v>
      </c>
      <c r="R96" s="132">
        <v>0</v>
      </c>
      <c r="S96" s="132">
        <v>0</v>
      </c>
      <c r="T96" s="132">
        <v>0.18723000000000001</v>
      </c>
      <c r="U96" s="132">
        <v>0</v>
      </c>
      <c r="V96" s="132">
        <v>0.17957000000000001</v>
      </c>
      <c r="W96" s="132">
        <v>0.17129</v>
      </c>
      <c r="X96" s="132">
        <v>0.30757000000000001</v>
      </c>
      <c r="Y96" s="132">
        <v>1.149E-2</v>
      </c>
      <c r="Z96" s="132">
        <v>0</v>
      </c>
      <c r="AA96" s="132">
        <v>2.7399999999999998E-3</v>
      </c>
      <c r="AB96" s="132">
        <v>0.55418000000000001</v>
      </c>
      <c r="AC96" s="132">
        <v>0.72624</v>
      </c>
      <c r="AD96" s="132">
        <v>0.63060000000000005</v>
      </c>
      <c r="AE96" s="132">
        <v>0.56406000000000001</v>
      </c>
      <c r="AF96" s="132">
        <v>-0.22932</v>
      </c>
      <c r="AG96" s="132">
        <v>-1.763636</v>
      </c>
      <c r="AH96" s="132">
        <v>0.77921600000000002</v>
      </c>
      <c r="AI96" s="132">
        <v>0.71713700000000002</v>
      </c>
      <c r="AJ96" s="132">
        <v>4.5040999999999998E-2</v>
      </c>
      <c r="AK96" s="132">
        <v>0.471003</v>
      </c>
    </row>
    <row r="97" spans="1:37" x14ac:dyDescent="0.25">
      <c r="A97" s="186" t="s">
        <v>261</v>
      </c>
      <c r="B97" s="91">
        <v>2</v>
      </c>
      <c r="C97" s="178">
        <v>742.27851699999997</v>
      </c>
      <c r="D97" s="132">
        <v>20.403396999999998</v>
      </c>
      <c r="E97" s="132">
        <v>3.2929900000000001</v>
      </c>
      <c r="F97" s="132">
        <v>0.60661600000000004</v>
      </c>
      <c r="G97" s="132">
        <f>60/E97</f>
        <v>18.220522989744882</v>
      </c>
      <c r="H97" s="132">
        <v>1.5219078014</v>
      </c>
      <c r="I97" s="132">
        <v>1.6943191489</v>
      </c>
      <c r="J97" s="132">
        <v>0.89824151630000004</v>
      </c>
      <c r="K97" s="132">
        <v>20.99</v>
      </c>
      <c r="L97" s="132">
        <v>0.41808000000000001</v>
      </c>
      <c r="M97" s="132">
        <v>0</v>
      </c>
      <c r="N97" s="132">
        <v>0.27467000000000003</v>
      </c>
      <c r="O97" s="132">
        <v>0.10094</v>
      </c>
      <c r="P97" s="132">
        <v>0.10094</v>
      </c>
      <c r="Q97" s="132">
        <v>1.1000000000000001E-3</v>
      </c>
      <c r="R97" s="132">
        <v>0</v>
      </c>
      <c r="S97" s="132">
        <v>0</v>
      </c>
      <c r="T97" s="132">
        <v>0.20407</v>
      </c>
      <c r="U97" s="132">
        <v>0</v>
      </c>
      <c r="V97" s="132">
        <v>0.20516999999999999</v>
      </c>
      <c r="W97" s="132">
        <v>0.16878000000000001</v>
      </c>
      <c r="X97" s="132">
        <v>0.28187000000000001</v>
      </c>
      <c r="Y97" s="132">
        <v>2.7019999999999999E-2</v>
      </c>
      <c r="Z97" s="132">
        <v>5.5100000000000001E-3</v>
      </c>
      <c r="AA97" s="132">
        <v>3.31E-3</v>
      </c>
      <c r="AB97" s="132">
        <v>0.58781000000000005</v>
      </c>
      <c r="AC97" s="132">
        <v>0.72919</v>
      </c>
      <c r="AD97" s="132">
        <v>0.63351999999999997</v>
      </c>
      <c r="AE97" s="132">
        <v>0.57959000000000005</v>
      </c>
      <c r="AF97" s="132">
        <v>-0.26960000000000001</v>
      </c>
      <c r="AG97" s="132">
        <v>-1.6363639999999999</v>
      </c>
      <c r="AH97" s="132">
        <v>0.70231100000000002</v>
      </c>
      <c r="AI97" s="132">
        <v>0.70295799999999997</v>
      </c>
      <c r="AJ97" s="132">
        <v>4.9535999999999997E-2</v>
      </c>
      <c r="AK97" s="132">
        <v>0.371452</v>
      </c>
    </row>
    <row r="98" spans="1:37" x14ac:dyDescent="0.25">
      <c r="A98" s="186" t="s">
        <v>267</v>
      </c>
      <c r="B98" s="91">
        <v>2</v>
      </c>
      <c r="C98" s="178">
        <v>838.08952799999997</v>
      </c>
      <c r="D98" s="132">
        <v>22.729948</v>
      </c>
      <c r="E98" s="132">
        <v>2.41377</v>
      </c>
      <c r="F98" s="132">
        <v>0.43751600000000002</v>
      </c>
      <c r="G98" s="132">
        <f>60/E98</f>
        <v>24.857380777787444</v>
      </c>
      <c r="H98" s="132">
        <v>1.0461432160999999</v>
      </c>
      <c r="I98" s="132">
        <v>1.2572537688000001</v>
      </c>
      <c r="J98" s="132">
        <v>0.83208596550000002</v>
      </c>
      <c r="K98" s="132">
        <v>22.48</v>
      </c>
      <c r="L98" s="132">
        <v>0.31355</v>
      </c>
      <c r="M98" s="132">
        <v>0</v>
      </c>
      <c r="N98" s="132">
        <v>0.25506000000000001</v>
      </c>
      <c r="O98" s="132">
        <v>0.15781000000000001</v>
      </c>
      <c r="P98" s="132">
        <v>0.12723999999999999</v>
      </c>
      <c r="Q98" s="132">
        <v>2.511E-2</v>
      </c>
      <c r="R98" s="132">
        <v>0</v>
      </c>
      <c r="S98" s="132">
        <v>0</v>
      </c>
      <c r="T98" s="132">
        <v>0.14476</v>
      </c>
      <c r="U98" s="132">
        <v>0</v>
      </c>
      <c r="V98" s="132">
        <v>0.16223000000000001</v>
      </c>
      <c r="W98" s="132">
        <v>0.18185999999999999</v>
      </c>
      <c r="X98" s="132">
        <v>0.32111000000000001</v>
      </c>
      <c r="Y98" s="132">
        <v>6.2789999999999999E-2</v>
      </c>
      <c r="Z98" s="132">
        <v>2.7299999999999998E-3</v>
      </c>
      <c r="AA98" s="132">
        <v>3.2799999999999999E-3</v>
      </c>
      <c r="AB98" s="132">
        <v>0.62353000000000003</v>
      </c>
      <c r="AC98" s="132">
        <v>0.76773000000000002</v>
      </c>
      <c r="AD98" s="132">
        <v>0.68245999999999996</v>
      </c>
      <c r="AE98" s="132">
        <v>0.60989000000000004</v>
      </c>
      <c r="AF98" s="132">
        <v>-0.16764000000000001</v>
      </c>
      <c r="AG98" s="132">
        <v>-1.436364</v>
      </c>
      <c r="AH98" s="132">
        <v>0.790493</v>
      </c>
      <c r="AI98" s="132">
        <v>0.74554100000000001</v>
      </c>
      <c r="AJ98" s="132">
        <v>8.1242999999999996E-2</v>
      </c>
      <c r="AK98" s="132">
        <v>0.25083</v>
      </c>
    </row>
    <row r="99" spans="1:37" x14ac:dyDescent="0.25">
      <c r="A99" s="186" t="s">
        <v>274</v>
      </c>
      <c r="B99" s="91">
        <v>2</v>
      </c>
      <c r="C99" s="178">
        <v>888.10330999999996</v>
      </c>
      <c r="D99" s="132">
        <v>31.485669000000001</v>
      </c>
      <c r="E99" s="132">
        <v>4.0962509999999996</v>
      </c>
      <c r="F99" s="132">
        <v>0.77008799999999999</v>
      </c>
      <c r="G99" s="132">
        <f>60/E99</f>
        <v>14.647539909053426</v>
      </c>
      <c r="H99" s="132">
        <v>1.9521629956</v>
      </c>
      <c r="I99" s="132">
        <v>2.0575242291000002</v>
      </c>
      <c r="J99" s="132">
        <v>0.9487922271</v>
      </c>
      <c r="K99" s="132">
        <v>35.93</v>
      </c>
      <c r="L99" s="132">
        <v>0.4012</v>
      </c>
      <c r="M99" s="132">
        <v>0</v>
      </c>
      <c r="N99" s="132">
        <v>0.33843000000000001</v>
      </c>
      <c r="O99" s="132">
        <v>7.7619999999999995E-2</v>
      </c>
      <c r="P99" s="132">
        <v>7.7619999999999995E-2</v>
      </c>
      <c r="Q99" s="132">
        <v>0</v>
      </c>
      <c r="R99" s="132">
        <v>0</v>
      </c>
      <c r="S99" s="132">
        <v>0</v>
      </c>
      <c r="T99" s="132">
        <v>0.25807999999999998</v>
      </c>
      <c r="U99" s="132">
        <v>5.5000000000000003E-4</v>
      </c>
      <c r="V99" s="132">
        <v>0.26193</v>
      </c>
      <c r="W99" s="132">
        <v>0.12385</v>
      </c>
      <c r="X99" s="132">
        <v>0.23227999999999999</v>
      </c>
      <c r="Y99" s="132">
        <v>8.2799999999999992E-3</v>
      </c>
      <c r="Z99" s="132">
        <v>6.6E-3</v>
      </c>
      <c r="AA99" s="132">
        <v>3.3E-3</v>
      </c>
      <c r="AB99" s="132">
        <v>0.55625000000000002</v>
      </c>
      <c r="AC99" s="132">
        <v>0.69235999999999998</v>
      </c>
      <c r="AD99" s="132">
        <v>0.60562000000000005</v>
      </c>
      <c r="AE99" s="132">
        <v>0.56020999999999999</v>
      </c>
      <c r="AF99" s="132">
        <v>-0.54800000000000004</v>
      </c>
      <c r="AG99" s="132">
        <v>-1.9636359999999999</v>
      </c>
      <c r="AH99" s="132">
        <v>0.64679200000000003</v>
      </c>
      <c r="AI99" s="132">
        <v>0.612174</v>
      </c>
      <c r="AJ99" s="132">
        <v>3.6229999999999998E-2</v>
      </c>
      <c r="AK99" s="132">
        <v>0.30821700000000002</v>
      </c>
    </row>
    <row r="100" spans="1:37" x14ac:dyDescent="0.25">
      <c r="A100" s="186" t="s">
        <v>277</v>
      </c>
      <c r="B100" s="91">
        <v>2</v>
      </c>
      <c r="C100" s="178">
        <v>1055.8049619999999</v>
      </c>
      <c r="D100" s="132">
        <v>34.793190000000003</v>
      </c>
      <c r="E100" s="132">
        <v>4.8976800000000003</v>
      </c>
      <c r="F100" s="132">
        <v>1.5199450000000001</v>
      </c>
      <c r="G100" s="132">
        <f>60/E100</f>
        <v>12.250698289802518</v>
      </c>
      <c r="H100" s="132">
        <v>1.8555841583999999</v>
      </c>
      <c r="I100" s="132">
        <v>2.6537425742999998</v>
      </c>
      <c r="J100" s="132">
        <v>0.69923291600000004</v>
      </c>
      <c r="K100" s="132">
        <v>36.58</v>
      </c>
      <c r="L100" s="132">
        <v>0.47110000000000002</v>
      </c>
      <c r="M100" s="132">
        <v>0</v>
      </c>
      <c r="N100" s="132">
        <v>0.30897999999999998</v>
      </c>
      <c r="O100" s="132">
        <v>6.8720000000000003E-2</v>
      </c>
      <c r="P100" s="132">
        <v>6.8169999999999994E-2</v>
      </c>
      <c r="Q100" s="132">
        <v>0</v>
      </c>
      <c r="R100" s="132">
        <v>0</v>
      </c>
      <c r="S100" s="132">
        <v>0</v>
      </c>
      <c r="T100" s="132">
        <v>0.24629999999999999</v>
      </c>
      <c r="U100" s="132">
        <v>0</v>
      </c>
      <c r="V100" s="132">
        <v>0.32046999999999998</v>
      </c>
      <c r="W100" s="132">
        <v>0.13084000000000001</v>
      </c>
      <c r="X100" s="132">
        <v>0.20837</v>
      </c>
      <c r="Y100" s="132">
        <v>8.8000000000000005E-3</v>
      </c>
      <c r="Z100" s="132">
        <v>1.1000000000000001E-3</v>
      </c>
      <c r="AA100" s="132">
        <v>1.1000000000000001E-3</v>
      </c>
      <c r="AB100" s="132">
        <v>0.54232999999999998</v>
      </c>
      <c r="AC100" s="132">
        <v>0.68118000000000001</v>
      </c>
      <c r="AD100" s="132">
        <v>0.55600000000000005</v>
      </c>
      <c r="AE100" s="132">
        <v>0.49064999999999998</v>
      </c>
      <c r="AF100" s="132">
        <v>-0.56538999999999995</v>
      </c>
      <c r="AG100" s="132">
        <v>-1.8</v>
      </c>
      <c r="AH100" s="132">
        <v>0.60563299999999998</v>
      </c>
      <c r="AI100" s="132">
        <v>0.69861799999999996</v>
      </c>
      <c r="AJ100" s="132">
        <v>3.8029E-2</v>
      </c>
      <c r="AK100" s="132">
        <v>0.38701200000000002</v>
      </c>
    </row>
    <row r="101" spans="1:37" ht="15.75" thickBot="1" x14ac:dyDescent="0.3">
      <c r="A101" s="192" t="s">
        <v>284</v>
      </c>
      <c r="B101" s="92">
        <v>2</v>
      </c>
      <c r="C101" s="173">
        <v>971.72666100000004</v>
      </c>
      <c r="D101" s="138">
        <v>26.733858000000001</v>
      </c>
      <c r="E101" s="138">
        <v>2.9527580000000002</v>
      </c>
      <c r="F101" s="138">
        <v>0.444608</v>
      </c>
      <c r="G101" s="138">
        <f>60/E101</f>
        <v>20.319985586356889</v>
      </c>
      <c r="H101" s="138">
        <v>1.2193450479000001</v>
      </c>
      <c r="I101" s="138">
        <v>1.6956261981</v>
      </c>
      <c r="J101" s="138">
        <v>0.71911194180000004</v>
      </c>
      <c r="K101" s="138">
        <v>39.57</v>
      </c>
      <c r="L101" s="138">
        <v>0.39137</v>
      </c>
      <c r="M101" s="138">
        <v>1.65E-3</v>
      </c>
      <c r="N101" s="138">
        <v>0.24592</v>
      </c>
      <c r="O101" s="138">
        <v>0.10755000000000001</v>
      </c>
      <c r="P101" s="138">
        <v>0.10755000000000001</v>
      </c>
      <c r="Q101" s="138">
        <v>0</v>
      </c>
      <c r="R101" s="138">
        <v>0</v>
      </c>
      <c r="S101" s="138">
        <v>0</v>
      </c>
      <c r="T101" s="138">
        <v>0.17293</v>
      </c>
      <c r="U101" s="138">
        <v>0</v>
      </c>
      <c r="V101" s="138">
        <v>0.15432000000000001</v>
      </c>
      <c r="W101" s="138">
        <v>0.17999000000000001</v>
      </c>
      <c r="X101" s="138">
        <v>0.33034000000000002</v>
      </c>
      <c r="Y101" s="138">
        <v>1.3169999999999999E-2</v>
      </c>
      <c r="Z101" s="138">
        <v>2.1900000000000001E-3</v>
      </c>
      <c r="AA101" s="138">
        <v>1.1000000000000001E-3</v>
      </c>
      <c r="AB101" s="138">
        <v>0.54191999999999996</v>
      </c>
      <c r="AC101" s="138">
        <v>0.68591999999999997</v>
      </c>
      <c r="AD101" s="138">
        <v>0.62612999999999996</v>
      </c>
      <c r="AE101" s="138">
        <v>0.55622000000000005</v>
      </c>
      <c r="AF101" s="138">
        <v>-0.26808999999999999</v>
      </c>
      <c r="AG101" s="138">
        <v>-2</v>
      </c>
      <c r="AH101" s="138">
        <v>0.65899799999999997</v>
      </c>
      <c r="AI101" s="138">
        <v>0.854495</v>
      </c>
      <c r="AJ101" s="138">
        <v>3.7474E-2</v>
      </c>
      <c r="AK101" s="138">
        <v>0.62539299999999998</v>
      </c>
    </row>
    <row r="102" spans="1:37" x14ac:dyDescent="0.25">
      <c r="A102" s="199" t="s">
        <v>288</v>
      </c>
      <c r="B102" s="142">
        <v>3</v>
      </c>
      <c r="C102" s="172">
        <v>1087.870445</v>
      </c>
      <c r="D102" s="144">
        <v>99.166995999999997</v>
      </c>
      <c r="E102" s="144">
        <v>4.6961849999999998</v>
      </c>
      <c r="F102" s="144">
        <v>1.914938</v>
      </c>
      <c r="G102" s="144">
        <f>60/E102</f>
        <v>12.776328019445572</v>
      </c>
      <c r="H102" s="144">
        <v>2.0065964126</v>
      </c>
      <c r="I102" s="144">
        <v>2.0992107622999998</v>
      </c>
      <c r="J102" s="144">
        <v>0.95588134769999999</v>
      </c>
      <c r="K102" s="144">
        <v>56.68</v>
      </c>
      <c r="L102" s="144">
        <v>0.44087999999999999</v>
      </c>
      <c r="M102" s="144">
        <v>0</v>
      </c>
      <c r="N102" s="144">
        <v>0.29049000000000003</v>
      </c>
      <c r="O102" s="144">
        <v>8.5339999999999999E-2</v>
      </c>
      <c r="P102" s="144">
        <v>8.3159999999999998E-2</v>
      </c>
      <c r="Q102" s="144">
        <v>1.09E-3</v>
      </c>
      <c r="R102" s="144">
        <v>0</v>
      </c>
      <c r="S102" s="144">
        <v>0</v>
      </c>
      <c r="T102" s="144">
        <v>0.27184000000000003</v>
      </c>
      <c r="U102" s="144">
        <v>0</v>
      </c>
      <c r="V102" s="144">
        <v>0.2172</v>
      </c>
      <c r="W102" s="144">
        <v>0.14387</v>
      </c>
      <c r="X102" s="144">
        <v>0.25054999999999999</v>
      </c>
      <c r="Y102" s="144">
        <v>1.477E-2</v>
      </c>
      <c r="Z102" s="144">
        <v>1.09E-3</v>
      </c>
      <c r="AA102" s="144">
        <v>1.64E-3</v>
      </c>
      <c r="AB102" s="144">
        <v>0.55435999999999996</v>
      </c>
      <c r="AC102" s="144">
        <v>0.69428000000000001</v>
      </c>
      <c r="AD102" s="144">
        <v>0.60102</v>
      </c>
      <c r="AE102" s="144">
        <v>0.55515999999999999</v>
      </c>
      <c r="AF102" s="144">
        <v>-0.27968999999999999</v>
      </c>
      <c r="AG102" s="144">
        <v>-1.8545450000000001</v>
      </c>
      <c r="AH102" s="144">
        <v>0.72390200000000005</v>
      </c>
      <c r="AI102" s="144">
        <v>0.72318300000000002</v>
      </c>
      <c r="AJ102" s="144">
        <v>3.0991999999999999E-2</v>
      </c>
      <c r="AK102" s="144">
        <v>0.46995100000000001</v>
      </c>
    </row>
    <row r="103" spans="1:37" x14ac:dyDescent="0.25">
      <c r="A103" s="190" t="s">
        <v>294</v>
      </c>
      <c r="B103" s="93">
        <v>3</v>
      </c>
      <c r="C103" s="176">
        <v>880.16897100000006</v>
      </c>
      <c r="D103" s="137">
        <v>43.904035</v>
      </c>
      <c r="E103" s="137">
        <v>3.7820040000000001</v>
      </c>
      <c r="F103" s="137">
        <v>0.807724</v>
      </c>
      <c r="G103" s="137">
        <f>60/E103</f>
        <v>15.864605114114104</v>
      </c>
      <c r="H103" s="137">
        <v>2.0674176706999998</v>
      </c>
      <c r="I103" s="137">
        <v>1.6158032129</v>
      </c>
      <c r="J103" s="137">
        <v>1.2794984278999999</v>
      </c>
      <c r="K103" s="137">
        <v>26.66</v>
      </c>
      <c r="L103" s="137">
        <v>0.46531</v>
      </c>
      <c r="M103" s="137">
        <v>0</v>
      </c>
      <c r="N103" s="137">
        <v>0.26980999999999999</v>
      </c>
      <c r="O103" s="137">
        <v>8.4650000000000003E-2</v>
      </c>
      <c r="P103" s="137">
        <v>8.4650000000000003E-2</v>
      </c>
      <c r="Q103" s="137">
        <v>0</v>
      </c>
      <c r="R103" s="137">
        <v>0</v>
      </c>
      <c r="S103" s="137">
        <v>0</v>
      </c>
      <c r="T103" s="137">
        <v>0.21467</v>
      </c>
      <c r="U103" s="137">
        <v>0</v>
      </c>
      <c r="V103" s="137">
        <v>0.25175999999999998</v>
      </c>
      <c r="W103" s="137">
        <v>0.15947</v>
      </c>
      <c r="X103" s="137">
        <v>0.26105</v>
      </c>
      <c r="Y103" s="137">
        <v>1.038E-2</v>
      </c>
      <c r="Z103" s="137">
        <v>3.82E-3</v>
      </c>
      <c r="AA103" s="137">
        <v>3.2799999999999999E-3</v>
      </c>
      <c r="AB103" s="137">
        <v>0.55944000000000005</v>
      </c>
      <c r="AC103" s="137">
        <v>0.70013000000000003</v>
      </c>
      <c r="AD103" s="137">
        <v>0.59631999999999996</v>
      </c>
      <c r="AE103" s="137">
        <v>0.54607000000000006</v>
      </c>
      <c r="AF103" s="137">
        <v>-0.30166999999999999</v>
      </c>
      <c r="AG103" s="137">
        <v>-1.818182</v>
      </c>
      <c r="AH103" s="137">
        <v>0.53264</v>
      </c>
      <c r="AI103" s="137">
        <v>0.73749600000000004</v>
      </c>
      <c r="AJ103" s="137">
        <v>6.4769999999999994E-2</v>
      </c>
      <c r="AK103" s="137">
        <v>0.45521299999999998</v>
      </c>
    </row>
    <row r="104" spans="1:37" x14ac:dyDescent="0.25">
      <c r="A104" s="190" t="s">
        <v>300</v>
      </c>
      <c r="B104" s="93">
        <v>3</v>
      </c>
      <c r="C104" s="176">
        <v>971.79630199999997</v>
      </c>
      <c r="D104" s="137">
        <v>31.829132999999999</v>
      </c>
      <c r="E104" s="137">
        <v>2.9526330000000001</v>
      </c>
      <c r="F104" s="137">
        <v>0.320046</v>
      </c>
      <c r="G104" s="137">
        <f>60/E104</f>
        <v>20.320845834887031</v>
      </c>
      <c r="H104" s="137">
        <v>4.2303003195000004</v>
      </c>
      <c r="I104" s="137">
        <v>1.2975079871999999</v>
      </c>
      <c r="J104" s="137">
        <v>3.2603269968999999</v>
      </c>
      <c r="K104" s="137">
        <v>25.54</v>
      </c>
      <c r="L104" s="137">
        <v>0.38566</v>
      </c>
      <c r="M104" s="137">
        <v>1.6299999999999999E-3</v>
      </c>
      <c r="N104" s="137">
        <v>0.25381999999999999</v>
      </c>
      <c r="O104" s="137">
        <v>0.11219</v>
      </c>
      <c r="P104" s="137">
        <v>0.10892</v>
      </c>
      <c r="Q104" s="137">
        <v>5.4000000000000001E-4</v>
      </c>
      <c r="R104" s="137">
        <v>0</v>
      </c>
      <c r="S104" s="137">
        <v>0</v>
      </c>
      <c r="T104" s="137">
        <v>0.13184999999999999</v>
      </c>
      <c r="U104" s="137">
        <v>5.4000000000000001E-4</v>
      </c>
      <c r="V104" s="137">
        <v>0.20863000000000001</v>
      </c>
      <c r="W104" s="137">
        <v>0.18354000000000001</v>
      </c>
      <c r="X104" s="137">
        <v>0.32350000000000001</v>
      </c>
      <c r="Y104" s="137">
        <v>1.089E-2</v>
      </c>
      <c r="Z104" s="137">
        <v>3.2699999999999999E-3</v>
      </c>
      <c r="AA104" s="137">
        <v>5.5000000000000003E-4</v>
      </c>
      <c r="AB104" s="137">
        <v>0.54500999999999999</v>
      </c>
      <c r="AC104" s="137">
        <v>0.71123999999999998</v>
      </c>
      <c r="AD104" s="137">
        <v>0.61634999999999995</v>
      </c>
      <c r="AE104" s="137">
        <v>0.55266999999999999</v>
      </c>
      <c r="AF104" s="137">
        <v>-0.31927</v>
      </c>
      <c r="AG104" s="137">
        <v>-1.2909090000000001</v>
      </c>
      <c r="AH104" s="137">
        <v>0.71776099999999998</v>
      </c>
      <c r="AI104" s="137">
        <v>0.83137399999999995</v>
      </c>
      <c r="AJ104" s="137">
        <v>0.13012399999999999</v>
      </c>
      <c r="AK104" s="137">
        <v>0.37183699999999997</v>
      </c>
    </row>
    <row r="105" spans="1:37" x14ac:dyDescent="0.25">
      <c r="A105" s="190" t="s">
        <v>304</v>
      </c>
      <c r="B105" s="93">
        <v>3</v>
      </c>
      <c r="C105" s="176">
        <v>904.07858699999997</v>
      </c>
      <c r="D105" s="137">
        <v>28.354863999999999</v>
      </c>
      <c r="E105" s="137">
        <v>4.6140290000000004</v>
      </c>
      <c r="F105" s="137">
        <v>0.49235200000000001</v>
      </c>
      <c r="G105" s="137">
        <f>60/E105</f>
        <v>13.003819438499411</v>
      </c>
      <c r="H105" s="137">
        <v>2.1629195980000002</v>
      </c>
      <c r="I105" s="137">
        <v>2.4248844220999999</v>
      </c>
      <c r="J105" s="137">
        <v>0.89196811949999999</v>
      </c>
      <c r="K105" s="137">
        <v>45.95</v>
      </c>
      <c r="L105" s="137">
        <v>0.37774999999999997</v>
      </c>
      <c r="M105" s="137">
        <v>0</v>
      </c>
      <c r="N105" s="137">
        <v>0.35797000000000001</v>
      </c>
      <c r="O105" s="137">
        <v>8.3339999999999997E-2</v>
      </c>
      <c r="P105" s="137">
        <v>8.3339999999999997E-2</v>
      </c>
      <c r="Q105" s="137">
        <v>0</v>
      </c>
      <c r="R105" s="137">
        <v>0</v>
      </c>
      <c r="S105" s="137">
        <v>0</v>
      </c>
      <c r="T105" s="137">
        <v>0.20397000000000001</v>
      </c>
      <c r="U105" s="137">
        <v>0</v>
      </c>
      <c r="V105" s="137">
        <v>0.35352</v>
      </c>
      <c r="W105" s="137">
        <v>0.12063</v>
      </c>
      <c r="X105" s="137">
        <v>0.21659</v>
      </c>
      <c r="Y105" s="137">
        <v>1.66E-3</v>
      </c>
      <c r="Z105" s="137">
        <v>4.3800000000000002E-3</v>
      </c>
      <c r="AA105" s="137">
        <v>1.64E-3</v>
      </c>
      <c r="AB105" s="137">
        <v>0.53376000000000001</v>
      </c>
      <c r="AC105" s="137">
        <v>0.66547999999999996</v>
      </c>
      <c r="AD105" s="137">
        <v>0.56089</v>
      </c>
      <c r="AE105" s="137">
        <v>0.48819000000000001</v>
      </c>
      <c r="AF105" s="137">
        <v>-0.35276000000000002</v>
      </c>
      <c r="AG105" s="137">
        <v>-1.8363640000000001</v>
      </c>
      <c r="AH105" s="137">
        <v>0.660914</v>
      </c>
      <c r="AI105" s="137">
        <v>0.51769900000000002</v>
      </c>
      <c r="AJ105" s="137">
        <v>2.9187999999999999E-2</v>
      </c>
      <c r="AK105" s="137">
        <v>0.18429400000000001</v>
      </c>
    </row>
    <row r="106" spans="1:37" x14ac:dyDescent="0.25">
      <c r="A106" s="190" t="s">
        <v>310</v>
      </c>
      <c r="B106" s="93">
        <v>3</v>
      </c>
      <c r="C106" s="176">
        <v>722.10174800000004</v>
      </c>
      <c r="D106" s="137">
        <v>21.994741999999999</v>
      </c>
      <c r="E106" s="137">
        <v>3.8743949999999998</v>
      </c>
      <c r="F106" s="137">
        <v>0.59011000000000002</v>
      </c>
      <c r="G106" s="137">
        <f>60/E106</f>
        <v>15.486288827029769</v>
      </c>
      <c r="H106" s="137">
        <v>5.7918008298999997</v>
      </c>
      <c r="I106" s="137">
        <v>1.9920829875999999</v>
      </c>
      <c r="J106" s="137">
        <v>2.9074094131999999</v>
      </c>
      <c r="K106" s="137">
        <v>34.869999999999997</v>
      </c>
      <c r="L106" s="137">
        <v>0.36403999999999997</v>
      </c>
      <c r="M106" s="137">
        <v>0</v>
      </c>
      <c r="N106" s="137">
        <v>0.33406999999999998</v>
      </c>
      <c r="O106" s="137">
        <v>8.6099999999999996E-2</v>
      </c>
      <c r="P106" s="137">
        <v>8.6099999999999996E-2</v>
      </c>
      <c r="Q106" s="137">
        <v>0</v>
      </c>
      <c r="R106" s="137">
        <v>0</v>
      </c>
      <c r="S106" s="137">
        <v>0</v>
      </c>
      <c r="T106" s="137">
        <v>0.18801999999999999</v>
      </c>
      <c r="U106" s="137">
        <v>0</v>
      </c>
      <c r="V106" s="137">
        <v>0.27850999999999998</v>
      </c>
      <c r="W106" s="137">
        <v>0.12861</v>
      </c>
      <c r="X106" s="137">
        <v>0.25991999999999998</v>
      </c>
      <c r="Y106" s="137">
        <v>9.7999999999999997E-3</v>
      </c>
      <c r="Z106" s="137">
        <v>2.7299999999999998E-3</v>
      </c>
      <c r="AA106" s="137">
        <v>2.7200000000000002E-3</v>
      </c>
      <c r="AB106" s="137">
        <v>0.53542999999999996</v>
      </c>
      <c r="AC106" s="137">
        <v>0.68037000000000003</v>
      </c>
      <c r="AD106" s="137">
        <v>0.60280999999999996</v>
      </c>
      <c r="AE106" s="137">
        <v>0.53983999999999999</v>
      </c>
      <c r="AF106" s="137">
        <v>-0.34883999999999998</v>
      </c>
      <c r="AG106" s="137">
        <v>-1.927273</v>
      </c>
      <c r="AH106" s="137">
        <v>0.68985300000000005</v>
      </c>
      <c r="AI106" s="137">
        <v>0.67269699999999999</v>
      </c>
      <c r="AJ106" s="137">
        <v>3.2127999999999997E-2</v>
      </c>
      <c r="AK106" s="137">
        <v>0.33027400000000001</v>
      </c>
    </row>
    <row r="107" spans="1:37" x14ac:dyDescent="0.25">
      <c r="A107" s="190" t="s">
        <v>314</v>
      </c>
      <c r="B107" s="93">
        <v>3</v>
      </c>
      <c r="C107" s="176">
        <v>747.22412099999997</v>
      </c>
      <c r="D107" s="137">
        <v>29.464876</v>
      </c>
      <c r="E107" s="137">
        <v>3.3995850000000001</v>
      </c>
      <c r="F107" s="137">
        <v>1.412579</v>
      </c>
      <c r="G107" s="137">
        <f>60/E107</f>
        <v>17.649213065712431</v>
      </c>
      <c r="H107" s="137">
        <v>1.2444158076</v>
      </c>
      <c r="I107" s="137">
        <v>1.8900618557</v>
      </c>
      <c r="J107" s="137">
        <v>0.65839951419999998</v>
      </c>
      <c r="K107" s="137">
        <v>19.829999999999998</v>
      </c>
      <c r="L107" s="137">
        <v>0.40503</v>
      </c>
      <c r="M107" s="137">
        <v>0</v>
      </c>
      <c r="N107" s="137">
        <v>0.30187999999999998</v>
      </c>
      <c r="O107" s="137">
        <v>9.9879999999999997E-2</v>
      </c>
      <c r="P107" s="137">
        <v>9.9330000000000002E-2</v>
      </c>
      <c r="Q107" s="137">
        <v>0</v>
      </c>
      <c r="R107" s="137">
        <v>0</v>
      </c>
      <c r="S107" s="137">
        <v>0</v>
      </c>
      <c r="T107" s="137">
        <v>0.24310999999999999</v>
      </c>
      <c r="U107" s="137">
        <v>0</v>
      </c>
      <c r="V107" s="137">
        <v>0.23274</v>
      </c>
      <c r="W107" s="137">
        <v>0.15146999999999999</v>
      </c>
      <c r="X107" s="137">
        <v>0.23602000000000001</v>
      </c>
      <c r="Y107" s="137">
        <v>2.853E-2</v>
      </c>
      <c r="Z107" s="137">
        <v>7.1300000000000001E-3</v>
      </c>
      <c r="AA107" s="137">
        <v>7.1300000000000001E-3</v>
      </c>
      <c r="AB107" s="137">
        <v>0.60685</v>
      </c>
      <c r="AC107" s="137">
        <v>0.73367000000000004</v>
      </c>
      <c r="AD107" s="137">
        <v>0.64095999999999997</v>
      </c>
      <c r="AE107" s="137">
        <v>0.59223999999999999</v>
      </c>
      <c r="AF107" s="137">
        <v>-0.34171000000000001</v>
      </c>
      <c r="AG107" s="137">
        <v>-1.7090909999999999</v>
      </c>
      <c r="AH107" s="137">
        <v>0.61312299999999997</v>
      </c>
      <c r="AI107" s="137">
        <v>0.64094300000000004</v>
      </c>
      <c r="AJ107" s="137">
        <v>4.7206999999999999E-2</v>
      </c>
      <c r="AK107" s="137">
        <v>0.29946499999999998</v>
      </c>
    </row>
    <row r="108" spans="1:37" x14ac:dyDescent="0.25">
      <c r="A108" s="190" t="s">
        <v>321</v>
      </c>
      <c r="B108" s="93">
        <v>3</v>
      </c>
      <c r="C108" s="176">
        <v>800.60879599999998</v>
      </c>
      <c r="D108" s="137">
        <v>28.186934999999998</v>
      </c>
      <c r="E108" s="137">
        <v>4.0833320000000004</v>
      </c>
      <c r="F108" s="137">
        <v>1.309812</v>
      </c>
      <c r="G108" s="137">
        <f>60/E108</f>
        <v>14.693882349022806</v>
      </c>
      <c r="H108" s="137">
        <v>1.8471004183999999</v>
      </c>
      <c r="I108" s="137">
        <v>1.9506192469000001</v>
      </c>
      <c r="J108" s="137">
        <v>0.94693027429999999</v>
      </c>
      <c r="K108" s="137">
        <v>18.54</v>
      </c>
      <c r="L108" s="137">
        <v>0.38039000000000001</v>
      </c>
      <c r="M108" s="137">
        <v>0</v>
      </c>
      <c r="N108" s="137">
        <v>0.35443999999999998</v>
      </c>
      <c r="O108" s="137">
        <v>8.931E-2</v>
      </c>
      <c r="P108" s="137">
        <v>8.7110000000000007E-2</v>
      </c>
      <c r="Q108" s="137">
        <v>1.1000000000000001E-3</v>
      </c>
      <c r="R108" s="137">
        <v>0</v>
      </c>
      <c r="S108" s="137">
        <v>0</v>
      </c>
      <c r="T108" s="137">
        <v>0.24917</v>
      </c>
      <c r="U108" s="137">
        <v>0</v>
      </c>
      <c r="V108" s="137">
        <v>0.28772999999999999</v>
      </c>
      <c r="W108" s="137">
        <v>0.11744</v>
      </c>
      <c r="X108" s="137">
        <v>0.21335000000000001</v>
      </c>
      <c r="Y108" s="137">
        <v>3.3619999999999997E-2</v>
      </c>
      <c r="Z108" s="137">
        <v>6.0600000000000003E-3</v>
      </c>
      <c r="AA108" s="137">
        <v>4.96E-3</v>
      </c>
      <c r="AB108" s="137">
        <v>0.59936999999999996</v>
      </c>
      <c r="AC108" s="137">
        <v>0.73514000000000002</v>
      </c>
      <c r="AD108" s="137">
        <v>0.62195999999999996</v>
      </c>
      <c r="AE108" s="137">
        <v>0.56677999999999995</v>
      </c>
      <c r="AF108" s="137">
        <v>-0.33506000000000002</v>
      </c>
      <c r="AG108" s="137">
        <v>-0.45454499999999998</v>
      </c>
      <c r="AH108" s="137">
        <v>0.54961099999999996</v>
      </c>
      <c r="AI108" s="137">
        <v>0.53493599999999997</v>
      </c>
      <c r="AJ108" s="137">
        <v>9.0076000000000003E-2</v>
      </c>
      <c r="AK108" s="137">
        <v>0.13267399999999999</v>
      </c>
    </row>
    <row r="109" spans="1:37" x14ac:dyDescent="0.25">
      <c r="A109" s="190" t="s">
        <v>327</v>
      </c>
      <c r="B109" s="93">
        <v>3</v>
      </c>
      <c r="C109" s="176">
        <v>693.74074399999995</v>
      </c>
      <c r="D109" s="137">
        <v>27.219932</v>
      </c>
      <c r="E109" s="137">
        <v>3.9938449999999999</v>
      </c>
      <c r="F109" s="137">
        <v>1.6882520000000001</v>
      </c>
      <c r="G109" s="137">
        <f>60/E109</f>
        <v>15.023116821008328</v>
      </c>
      <c r="H109" s="137">
        <v>1.7349531250000001</v>
      </c>
      <c r="I109" s="137">
        <v>1.84709375</v>
      </c>
      <c r="J109" s="137">
        <v>0.93928807079999999</v>
      </c>
      <c r="K109" s="137">
        <v>22.17</v>
      </c>
      <c r="L109" s="137">
        <v>0.42198000000000002</v>
      </c>
      <c r="M109" s="137">
        <v>0</v>
      </c>
      <c r="N109" s="137">
        <v>0.29942999999999997</v>
      </c>
      <c r="O109" s="137">
        <v>8.9219999999999994E-2</v>
      </c>
      <c r="P109" s="137">
        <v>8.9219999999999994E-2</v>
      </c>
      <c r="Q109" s="137">
        <v>0</v>
      </c>
      <c r="R109" s="137">
        <v>0</v>
      </c>
      <c r="S109" s="137">
        <v>0</v>
      </c>
      <c r="T109" s="137">
        <v>0.21293999999999999</v>
      </c>
      <c r="U109" s="137">
        <v>0</v>
      </c>
      <c r="V109" s="137">
        <v>0.20638999999999999</v>
      </c>
      <c r="W109" s="137">
        <v>0.16199</v>
      </c>
      <c r="X109" s="137">
        <v>0.26324999999999998</v>
      </c>
      <c r="Y109" s="137">
        <v>4.9799999999999997E-2</v>
      </c>
      <c r="Z109" s="137">
        <v>2.7399999999999998E-3</v>
      </c>
      <c r="AA109" s="137">
        <v>2.7399999999999998E-3</v>
      </c>
      <c r="AB109" s="137">
        <v>0.59077999999999997</v>
      </c>
      <c r="AC109" s="137">
        <v>0.71550999999999998</v>
      </c>
      <c r="AD109" s="137">
        <v>0.63671999999999995</v>
      </c>
      <c r="AE109" s="137">
        <v>0.59062000000000003</v>
      </c>
      <c r="AF109" s="137">
        <v>-0.34627999999999998</v>
      </c>
      <c r="AG109" s="137">
        <v>-2</v>
      </c>
      <c r="AH109" s="137">
        <v>0.69550900000000004</v>
      </c>
      <c r="AI109" s="137">
        <v>0.76526000000000005</v>
      </c>
      <c r="AJ109" s="137">
        <v>2.1673000000000001E-2</v>
      </c>
      <c r="AK109" s="137">
        <v>0.49125799999999997</v>
      </c>
    </row>
    <row r="110" spans="1:37" x14ac:dyDescent="0.25">
      <c r="A110" s="190" t="s">
        <v>332</v>
      </c>
      <c r="B110" s="93">
        <v>3</v>
      </c>
      <c r="C110" s="176">
        <v>833.00104299999998</v>
      </c>
      <c r="D110" s="137">
        <v>80.964530999999994</v>
      </c>
      <c r="E110" s="137">
        <v>5.3226000000000004</v>
      </c>
      <c r="F110" s="137">
        <v>2.4218259999999998</v>
      </c>
      <c r="G110" s="137">
        <f>60/E110</f>
        <v>11.272686281140794</v>
      </c>
      <c r="H110" s="137">
        <v>7.8245347593999997</v>
      </c>
      <c r="I110" s="137">
        <v>3.010486631</v>
      </c>
      <c r="J110" s="137">
        <v>2.5990930099999998</v>
      </c>
      <c r="K110" s="137">
        <v>23.99</v>
      </c>
      <c r="L110" s="137">
        <v>0.38961000000000001</v>
      </c>
      <c r="M110" s="137">
        <v>0</v>
      </c>
      <c r="N110" s="137">
        <v>0.37092000000000003</v>
      </c>
      <c r="O110" s="137">
        <v>7.2340000000000002E-2</v>
      </c>
      <c r="P110" s="137">
        <v>7.1239999999999998E-2</v>
      </c>
      <c r="Q110" s="137">
        <v>5.5000000000000003E-4</v>
      </c>
      <c r="R110" s="137">
        <v>0</v>
      </c>
      <c r="S110" s="137">
        <v>0</v>
      </c>
      <c r="T110" s="137">
        <v>0.37635000000000002</v>
      </c>
      <c r="U110" s="137">
        <v>0</v>
      </c>
      <c r="V110" s="137">
        <v>0.20712</v>
      </c>
      <c r="W110" s="137">
        <v>9.4829999999999998E-2</v>
      </c>
      <c r="X110" s="137">
        <v>0.20441999999999999</v>
      </c>
      <c r="Y110" s="137">
        <v>1.9189999999999999E-2</v>
      </c>
      <c r="Z110" s="137">
        <v>1.1000000000000001E-3</v>
      </c>
      <c r="AA110" s="137">
        <v>1.64E-3</v>
      </c>
      <c r="AB110" s="137">
        <v>0.54535999999999996</v>
      </c>
      <c r="AC110" s="137">
        <v>0.68506</v>
      </c>
      <c r="AD110" s="137">
        <v>0.58314999999999995</v>
      </c>
      <c r="AE110" s="137">
        <v>0.53312999999999999</v>
      </c>
      <c r="AF110" s="137">
        <v>-0.34519</v>
      </c>
      <c r="AG110" s="137">
        <v>-1.927273</v>
      </c>
      <c r="AH110" s="137">
        <v>0.67429799999999995</v>
      </c>
      <c r="AI110" s="137">
        <v>0.67708299999999999</v>
      </c>
      <c r="AJ110" s="137">
        <v>2.1637E-2</v>
      </c>
      <c r="AK110" s="137">
        <v>0.388044</v>
      </c>
    </row>
    <row r="111" spans="1:37" x14ac:dyDescent="0.25">
      <c r="A111" s="190" t="s">
        <v>337</v>
      </c>
      <c r="B111" s="93">
        <v>3</v>
      </c>
      <c r="C111" s="176">
        <v>827.91479200000003</v>
      </c>
      <c r="D111" s="137">
        <v>29.888092</v>
      </c>
      <c r="E111" s="137">
        <v>3.0206469999999999</v>
      </c>
      <c r="F111" s="137">
        <v>0.51499300000000003</v>
      </c>
      <c r="G111" s="137">
        <f>60/E111</f>
        <v>19.86329418829807</v>
      </c>
      <c r="H111" s="137">
        <v>1.2435278689</v>
      </c>
      <c r="I111" s="137">
        <v>1.7409606556999999</v>
      </c>
      <c r="J111" s="137">
        <v>0.71427683600000003</v>
      </c>
      <c r="K111" s="137">
        <v>28.85</v>
      </c>
      <c r="L111" s="137">
        <v>0.39450000000000002</v>
      </c>
      <c r="M111" s="137">
        <v>1.1000000000000001E-3</v>
      </c>
      <c r="N111" s="137">
        <v>0.24024000000000001</v>
      </c>
      <c r="O111" s="137">
        <v>0.11514000000000001</v>
      </c>
      <c r="P111" s="137">
        <v>0.11514000000000001</v>
      </c>
      <c r="Q111" s="137">
        <v>0</v>
      </c>
      <c r="R111" s="137">
        <v>0</v>
      </c>
      <c r="S111" s="137">
        <v>0</v>
      </c>
      <c r="T111" s="137">
        <v>0.15815000000000001</v>
      </c>
      <c r="U111" s="137">
        <v>0</v>
      </c>
      <c r="V111" s="137">
        <v>0.17304</v>
      </c>
      <c r="W111" s="137">
        <v>0.19667000000000001</v>
      </c>
      <c r="X111" s="137">
        <v>0.32779999999999998</v>
      </c>
      <c r="Y111" s="137">
        <v>6.6100000000000004E-3</v>
      </c>
      <c r="Z111" s="137">
        <v>3.3E-3</v>
      </c>
      <c r="AA111" s="137">
        <v>5.5000000000000003E-4</v>
      </c>
      <c r="AB111" s="137">
        <v>0.55066999999999999</v>
      </c>
      <c r="AC111" s="137">
        <v>0.68744000000000005</v>
      </c>
      <c r="AD111" s="137">
        <v>0.62863999999999998</v>
      </c>
      <c r="AE111" s="137">
        <v>0.56564000000000003</v>
      </c>
      <c r="AF111" s="137">
        <v>-0.26890999999999998</v>
      </c>
      <c r="AG111" s="137">
        <v>-1.9818180000000001</v>
      </c>
      <c r="AH111" s="137">
        <v>0.62272000000000005</v>
      </c>
      <c r="AI111" s="137">
        <v>0.75244999999999995</v>
      </c>
      <c r="AJ111" s="137">
        <v>3.5106999999999999E-2</v>
      </c>
      <c r="AK111" s="137">
        <v>0.70187299999999997</v>
      </c>
    </row>
    <row r="112" spans="1:37" x14ac:dyDescent="0.25">
      <c r="A112" s="190" t="s">
        <v>342</v>
      </c>
      <c r="B112" s="93">
        <v>3</v>
      </c>
      <c r="C112" s="176">
        <v>878.18348500000002</v>
      </c>
      <c r="D112" s="137">
        <v>84.665429000000003</v>
      </c>
      <c r="E112" s="137">
        <v>4.2960190000000003</v>
      </c>
      <c r="F112" s="137">
        <v>2.5182519999999999</v>
      </c>
      <c r="G112" s="137">
        <f>60/E112</f>
        <v>13.966418677384805</v>
      </c>
      <c r="H112" s="137">
        <v>1.7896505575999999</v>
      </c>
      <c r="I112" s="137">
        <v>1.5855539032999999</v>
      </c>
      <c r="J112" s="137">
        <v>1.1287226211000001</v>
      </c>
      <c r="K112" s="137">
        <v>60.65</v>
      </c>
      <c r="L112" s="137">
        <v>0.39922000000000002</v>
      </c>
      <c r="M112" s="137">
        <v>2.2100000000000002E-3</v>
      </c>
      <c r="N112" s="137">
        <v>0.28845999999999999</v>
      </c>
      <c r="O112" s="137">
        <v>0.10299999999999999</v>
      </c>
      <c r="P112" s="137">
        <v>0.10077999999999999</v>
      </c>
      <c r="Q112" s="137">
        <v>3.32E-3</v>
      </c>
      <c r="R112" s="137">
        <v>0</v>
      </c>
      <c r="S112" s="137">
        <v>0</v>
      </c>
      <c r="T112" s="137">
        <v>0.24635000000000001</v>
      </c>
      <c r="U112" s="137">
        <v>0</v>
      </c>
      <c r="V112" s="137">
        <v>0.15615999999999999</v>
      </c>
      <c r="W112" s="137">
        <v>0.17996000000000001</v>
      </c>
      <c r="X112" s="137">
        <v>0.29126999999999997</v>
      </c>
      <c r="Y112" s="137">
        <v>2.103E-2</v>
      </c>
      <c r="Z112" s="137">
        <v>2.2200000000000002E-3</v>
      </c>
      <c r="AA112" s="137">
        <v>0</v>
      </c>
      <c r="AB112" s="137">
        <v>0.58108000000000004</v>
      </c>
      <c r="AC112" s="137">
        <v>0.72319</v>
      </c>
      <c r="AD112" s="137">
        <v>0.62871999999999995</v>
      </c>
      <c r="AE112" s="137">
        <v>0.57938000000000001</v>
      </c>
      <c r="AF112" s="137">
        <v>-0.24385000000000001</v>
      </c>
      <c r="AG112" s="137">
        <v>-2</v>
      </c>
      <c r="AH112" s="137">
        <v>0.71601499999999996</v>
      </c>
      <c r="AI112" s="137">
        <v>0.71694400000000003</v>
      </c>
      <c r="AJ112" s="137">
        <v>2.4596E-2</v>
      </c>
      <c r="AK112" s="137">
        <v>0.58881499999999998</v>
      </c>
    </row>
    <row r="113" spans="1:37" x14ac:dyDescent="0.25">
      <c r="A113" s="190" t="s">
        <v>346</v>
      </c>
      <c r="B113" s="93">
        <v>3</v>
      </c>
      <c r="C113" s="176">
        <v>767.46145200000001</v>
      </c>
      <c r="D113" s="137">
        <v>98.182303000000005</v>
      </c>
      <c r="E113" s="137">
        <v>8.4742420000000003</v>
      </c>
      <c r="F113" s="137">
        <v>0.95199500000000004</v>
      </c>
      <c r="G113" s="137">
        <f>60/E113</f>
        <v>7.0802792745357044</v>
      </c>
      <c r="H113" s="137">
        <v>11.729749999999999</v>
      </c>
      <c r="I113" s="137">
        <v>3.2958703703999999</v>
      </c>
      <c r="J113" s="137">
        <v>3.5589233440000001</v>
      </c>
      <c r="K113" s="137">
        <v>33.83</v>
      </c>
      <c r="L113" s="137">
        <v>0.41577999999999998</v>
      </c>
      <c r="M113" s="137">
        <v>8.2799999999999992E-3</v>
      </c>
      <c r="N113" s="137">
        <v>0.43282999999999999</v>
      </c>
      <c r="O113" s="137">
        <v>4.0899999999999999E-2</v>
      </c>
      <c r="P113" s="137">
        <v>3.8690000000000002E-2</v>
      </c>
      <c r="Q113" s="137">
        <v>0</v>
      </c>
      <c r="R113" s="137">
        <v>0</v>
      </c>
      <c r="S113" s="137">
        <v>0</v>
      </c>
      <c r="T113" s="137">
        <v>0.51337999999999995</v>
      </c>
      <c r="U113" s="137">
        <v>0</v>
      </c>
      <c r="V113" s="137">
        <v>0.23352999999999999</v>
      </c>
      <c r="W113" s="137">
        <v>5.9150000000000001E-2</v>
      </c>
      <c r="X113" s="137">
        <v>0.12544</v>
      </c>
      <c r="Y113" s="137">
        <v>2.2200000000000002E-3</v>
      </c>
      <c r="Z113" s="137">
        <v>1.66E-3</v>
      </c>
      <c r="AA113" s="137">
        <v>1.1000000000000001E-3</v>
      </c>
      <c r="AB113" s="137">
        <v>0.48981000000000002</v>
      </c>
      <c r="AC113" s="137">
        <v>0.66069999999999995</v>
      </c>
      <c r="AD113" s="137">
        <v>0.47570000000000001</v>
      </c>
      <c r="AE113" s="137">
        <v>0.41565999999999997</v>
      </c>
      <c r="AF113" s="137">
        <v>-0.31441999999999998</v>
      </c>
      <c r="AG113" s="137">
        <v>-1.8545450000000001</v>
      </c>
      <c r="AH113" s="137">
        <v>0.45036799999999999</v>
      </c>
      <c r="AI113" s="137">
        <v>0.51008100000000001</v>
      </c>
      <c r="AJ113" s="137">
        <v>2.3729E-2</v>
      </c>
      <c r="AK113" s="137">
        <v>0.19587099999999999</v>
      </c>
    </row>
    <row r="114" spans="1:37" x14ac:dyDescent="0.25">
      <c r="A114" s="190" t="s">
        <v>351</v>
      </c>
      <c r="B114" s="93">
        <v>3</v>
      </c>
      <c r="C114" s="176">
        <v>737.20011999999997</v>
      </c>
      <c r="D114" s="137">
        <v>36.588441000000003</v>
      </c>
      <c r="E114" s="137">
        <v>3.1854049999999998</v>
      </c>
      <c r="F114" s="137">
        <v>0.43861899999999998</v>
      </c>
      <c r="G114" s="137">
        <f>60/E114</f>
        <v>18.835909405554396</v>
      </c>
      <c r="H114" s="137">
        <v>1.5449068965999999</v>
      </c>
      <c r="I114" s="137">
        <v>1.5991586206999999</v>
      </c>
      <c r="J114" s="137">
        <v>0.96607483250000004</v>
      </c>
      <c r="K114" s="137">
        <v>57.45</v>
      </c>
      <c r="L114" s="137">
        <v>0.40173999999999999</v>
      </c>
      <c r="M114" s="137">
        <v>2.1900000000000001E-3</v>
      </c>
      <c r="N114" s="137">
        <v>0.24482999999999999</v>
      </c>
      <c r="O114" s="137">
        <v>0.11085</v>
      </c>
      <c r="P114" s="137">
        <v>0.11085</v>
      </c>
      <c r="Q114" s="137">
        <v>0</v>
      </c>
      <c r="R114" s="137">
        <v>0</v>
      </c>
      <c r="S114" s="137">
        <v>0</v>
      </c>
      <c r="T114" s="137">
        <v>0.20307</v>
      </c>
      <c r="U114" s="137">
        <v>0</v>
      </c>
      <c r="V114" s="137">
        <v>0.18940000000000001</v>
      </c>
      <c r="W114" s="137">
        <v>0.16464000000000001</v>
      </c>
      <c r="X114" s="137">
        <v>0.2969</v>
      </c>
      <c r="Y114" s="137">
        <v>1.482E-2</v>
      </c>
      <c r="Z114" s="137">
        <v>1.1000000000000001E-3</v>
      </c>
      <c r="AA114" s="137">
        <v>5.5000000000000003E-4</v>
      </c>
      <c r="AB114" s="137">
        <v>0.55522000000000005</v>
      </c>
      <c r="AC114" s="137">
        <v>0.69518000000000002</v>
      </c>
      <c r="AD114" s="137">
        <v>0.62929999999999997</v>
      </c>
      <c r="AE114" s="137">
        <v>0.57116999999999996</v>
      </c>
      <c r="AF114" s="137">
        <v>-0.27442</v>
      </c>
      <c r="AG114" s="137">
        <v>-1.9454549999999999</v>
      </c>
      <c r="AH114" s="137">
        <v>0.75233899999999998</v>
      </c>
      <c r="AI114" s="137">
        <v>0.75064299999999995</v>
      </c>
      <c r="AJ114" s="137">
        <v>3.0018E-2</v>
      </c>
      <c r="AK114" s="137">
        <v>0.48077500000000001</v>
      </c>
    </row>
    <row r="115" spans="1:37" x14ac:dyDescent="0.25">
      <c r="A115" s="190" t="s">
        <v>355</v>
      </c>
      <c r="B115" s="93">
        <v>3</v>
      </c>
      <c r="C115" s="176">
        <v>896.49888699999997</v>
      </c>
      <c r="D115" s="137">
        <v>71.418149</v>
      </c>
      <c r="E115" s="137">
        <v>12.450327</v>
      </c>
      <c r="F115" s="137">
        <v>3.5826739999999999</v>
      </c>
      <c r="G115" s="137">
        <f>60/E115</f>
        <v>4.8191505331546711</v>
      </c>
      <c r="H115" s="137">
        <v>18.585350649399999</v>
      </c>
      <c r="I115" s="137">
        <v>7.0573246753000003</v>
      </c>
      <c r="J115" s="137">
        <v>2.6334838630999999</v>
      </c>
      <c r="K115" s="137">
        <v>29.87</v>
      </c>
      <c r="L115" s="137">
        <v>0.34910999999999998</v>
      </c>
      <c r="M115" s="137">
        <v>0</v>
      </c>
      <c r="N115" s="137">
        <v>0.54791000000000001</v>
      </c>
      <c r="O115" s="137">
        <v>2.2280000000000001E-2</v>
      </c>
      <c r="P115" s="137">
        <v>2.2280000000000001E-2</v>
      </c>
      <c r="Q115" s="137">
        <v>0</v>
      </c>
      <c r="R115" s="137">
        <v>0</v>
      </c>
      <c r="S115" s="137">
        <v>0</v>
      </c>
      <c r="T115" s="137">
        <v>0.54566999999999999</v>
      </c>
      <c r="U115" s="137">
        <v>0</v>
      </c>
      <c r="V115" s="137">
        <v>0.23288</v>
      </c>
      <c r="W115" s="137">
        <v>4.2869999999999998E-2</v>
      </c>
      <c r="X115" s="137">
        <v>0.10793999999999999</v>
      </c>
      <c r="Y115" s="137">
        <v>8.3400000000000002E-3</v>
      </c>
      <c r="Z115" s="137">
        <v>3.8899999999999998E-3</v>
      </c>
      <c r="AA115" s="137">
        <v>0</v>
      </c>
      <c r="AB115" s="137">
        <v>0.45136999999999999</v>
      </c>
      <c r="AC115" s="137">
        <v>0.63026000000000004</v>
      </c>
      <c r="AD115" s="137">
        <v>0.41653000000000001</v>
      </c>
      <c r="AE115" s="137">
        <v>0.3458</v>
      </c>
      <c r="AF115" s="137">
        <v>-0.34873999999999999</v>
      </c>
      <c r="AG115" s="137">
        <v>-1.927273</v>
      </c>
      <c r="AH115" s="137">
        <v>0.50912500000000005</v>
      </c>
      <c r="AI115" s="137">
        <v>0.70182599999999995</v>
      </c>
      <c r="AJ115" s="137">
        <v>2.3102000000000001E-2</v>
      </c>
      <c r="AK115" s="137">
        <v>0.384739</v>
      </c>
    </row>
    <row r="116" spans="1:37" x14ac:dyDescent="0.25">
      <c r="A116" s="190" t="s">
        <v>358</v>
      </c>
      <c r="B116" s="93">
        <v>3</v>
      </c>
      <c r="C116" s="176">
        <v>711.77245700000003</v>
      </c>
      <c r="D116" s="137">
        <v>49.638621000000001</v>
      </c>
      <c r="E116" s="137">
        <v>3.0240360000000002</v>
      </c>
      <c r="F116" s="137">
        <v>0.46800399999999998</v>
      </c>
      <c r="G116" s="137">
        <f>60/E116</f>
        <v>19.84103363848843</v>
      </c>
      <c r="H116" s="137">
        <v>1.4505947712</v>
      </c>
      <c r="I116" s="137">
        <v>1.5272908497</v>
      </c>
      <c r="J116" s="137">
        <v>0.94978292549999999</v>
      </c>
      <c r="K116" s="137">
        <v>47.73</v>
      </c>
      <c r="L116" s="137">
        <v>0.38274000000000002</v>
      </c>
      <c r="M116" s="137">
        <v>0</v>
      </c>
      <c r="N116" s="137">
        <v>0.30162</v>
      </c>
      <c r="O116" s="137">
        <v>0.10978</v>
      </c>
      <c r="P116" s="137">
        <v>0.10978</v>
      </c>
      <c r="Q116" s="137">
        <v>1.1000000000000001E-3</v>
      </c>
      <c r="R116" s="137">
        <v>0</v>
      </c>
      <c r="S116" s="137">
        <v>0</v>
      </c>
      <c r="T116" s="137">
        <v>0.25276999999999999</v>
      </c>
      <c r="U116" s="137">
        <v>0</v>
      </c>
      <c r="V116" s="137">
        <v>0.22900000000000001</v>
      </c>
      <c r="W116" s="137">
        <v>0.13449</v>
      </c>
      <c r="X116" s="137">
        <v>0.23660999999999999</v>
      </c>
      <c r="Y116" s="137">
        <v>4.9399999999999999E-2</v>
      </c>
      <c r="Z116" s="137">
        <v>1.1000000000000001E-3</v>
      </c>
      <c r="AA116" s="137">
        <v>1.65E-3</v>
      </c>
      <c r="AB116" s="137">
        <v>0.60336000000000001</v>
      </c>
      <c r="AC116" s="137">
        <v>0.70286999999999999</v>
      </c>
      <c r="AD116" s="137">
        <v>0.64985999999999999</v>
      </c>
      <c r="AE116" s="137">
        <v>0.60262000000000004</v>
      </c>
      <c r="AF116" s="137">
        <v>-0.26030999999999999</v>
      </c>
      <c r="AG116" s="137">
        <v>-1.563636</v>
      </c>
      <c r="AH116" s="137">
        <v>0.65493199999999996</v>
      </c>
      <c r="AI116" s="137">
        <v>0.58931800000000001</v>
      </c>
      <c r="AJ116" s="137">
        <v>4.5822000000000002E-2</v>
      </c>
      <c r="AK116" s="137">
        <v>0.20381299999999999</v>
      </c>
    </row>
    <row r="117" spans="1:37" x14ac:dyDescent="0.25">
      <c r="A117" s="190" t="s">
        <v>362</v>
      </c>
      <c r="B117" s="93">
        <v>3</v>
      </c>
      <c r="C117" s="176">
        <v>1026.4168729999999</v>
      </c>
      <c r="D117" s="137">
        <v>69.224498999999994</v>
      </c>
      <c r="E117" s="137">
        <v>7.7783170000000004</v>
      </c>
      <c r="F117" s="137">
        <v>1.0647690000000001</v>
      </c>
      <c r="G117" s="137">
        <f>60/E117</f>
        <v>7.7137509309533154</v>
      </c>
      <c r="H117" s="137">
        <v>2.9032941175999998</v>
      </c>
      <c r="I117" s="137">
        <v>4.7670840335999998</v>
      </c>
      <c r="J117" s="137">
        <v>0.60902935570000005</v>
      </c>
      <c r="K117" s="137">
        <v>76.010000000000005</v>
      </c>
      <c r="L117" s="137">
        <v>0.45861000000000002</v>
      </c>
      <c r="M117" s="137">
        <v>0</v>
      </c>
      <c r="N117" s="137">
        <v>0.38135999999999998</v>
      </c>
      <c r="O117" s="137">
        <v>4.3299999999999998E-2</v>
      </c>
      <c r="P117" s="137">
        <v>4.3299999999999998E-2</v>
      </c>
      <c r="Q117" s="137">
        <v>0</v>
      </c>
      <c r="R117" s="137">
        <v>0</v>
      </c>
      <c r="S117" s="137">
        <v>0</v>
      </c>
      <c r="T117" s="137">
        <v>0.34893999999999997</v>
      </c>
      <c r="U117" s="137">
        <v>0</v>
      </c>
      <c r="V117" s="137">
        <v>0.29696</v>
      </c>
      <c r="W117" s="137">
        <v>9.4829999999999998E-2</v>
      </c>
      <c r="X117" s="137">
        <v>0.16827</v>
      </c>
      <c r="Y117" s="137">
        <v>1.098E-2</v>
      </c>
      <c r="Z117" s="137">
        <v>4.3899999999999998E-3</v>
      </c>
      <c r="AA117" s="137">
        <v>2.1900000000000001E-3</v>
      </c>
      <c r="AB117" s="137">
        <v>0.52449000000000001</v>
      </c>
      <c r="AC117" s="137">
        <v>0.65820000000000001</v>
      </c>
      <c r="AD117" s="137">
        <v>0.54068000000000005</v>
      </c>
      <c r="AE117" s="137">
        <v>0.50097000000000003</v>
      </c>
      <c r="AF117" s="137">
        <v>-0.33794999999999997</v>
      </c>
      <c r="AG117" s="137">
        <v>-1.072727</v>
      </c>
      <c r="AH117" s="137">
        <v>0.45621499999999998</v>
      </c>
      <c r="AI117" s="137">
        <v>0.41361199999999998</v>
      </c>
      <c r="AJ117" s="137">
        <v>4.8585999999999997E-2</v>
      </c>
      <c r="AK117" s="137">
        <v>0.13792399999999999</v>
      </c>
    </row>
    <row r="118" spans="1:37" x14ac:dyDescent="0.25">
      <c r="A118" s="190" t="s">
        <v>368</v>
      </c>
      <c r="B118" s="93">
        <v>3</v>
      </c>
      <c r="C118" s="176">
        <v>1154.662077</v>
      </c>
      <c r="D118" s="137">
        <v>31.098063</v>
      </c>
      <c r="E118" s="137">
        <v>3.6753</v>
      </c>
      <c r="F118" s="137">
        <v>3.4768780000000001</v>
      </c>
      <c r="G118" s="137">
        <f>60/E118</f>
        <v>16.32519794302506</v>
      </c>
      <c r="H118" s="137">
        <v>1.5257804878000001</v>
      </c>
      <c r="I118" s="137">
        <v>1.4741916375999999</v>
      </c>
      <c r="J118" s="137">
        <v>1.0349946701999999</v>
      </c>
      <c r="K118" s="137">
        <v>42.7</v>
      </c>
      <c r="L118" s="137">
        <v>0.34850999999999999</v>
      </c>
      <c r="M118" s="137">
        <v>0</v>
      </c>
      <c r="N118" s="137">
        <v>0.25599</v>
      </c>
      <c r="O118" s="137">
        <v>0.11342000000000001</v>
      </c>
      <c r="P118" s="137">
        <v>0.11226</v>
      </c>
      <c r="Q118" s="137">
        <v>9.8799999999999999E-3</v>
      </c>
      <c r="R118" s="137">
        <v>0</v>
      </c>
      <c r="S118" s="137">
        <v>0</v>
      </c>
      <c r="T118" s="137">
        <v>0.14727000000000001</v>
      </c>
      <c r="U118" s="137">
        <v>0</v>
      </c>
      <c r="V118" s="137">
        <v>0.15301999999999999</v>
      </c>
      <c r="W118" s="137">
        <v>0.19136</v>
      </c>
      <c r="X118" s="137">
        <v>0.34375</v>
      </c>
      <c r="Y118" s="137">
        <v>3.49E-3</v>
      </c>
      <c r="Z118" s="137">
        <v>0</v>
      </c>
      <c r="AA118" s="137">
        <v>1.16E-3</v>
      </c>
      <c r="AB118" s="137">
        <v>0.54735</v>
      </c>
      <c r="AC118" s="137">
        <v>0.69079000000000002</v>
      </c>
      <c r="AD118" s="137">
        <v>0.64368999999999998</v>
      </c>
      <c r="AE118" s="137">
        <v>0.56869000000000003</v>
      </c>
      <c r="AF118" s="137">
        <v>-7.8490000000000004E-2</v>
      </c>
      <c r="AG118" s="137">
        <v>-1.8363640000000001</v>
      </c>
      <c r="AH118" s="137">
        <v>0.621641</v>
      </c>
      <c r="AI118" s="137">
        <v>0.76578900000000005</v>
      </c>
      <c r="AJ118" s="137">
        <v>2.6700000000000002E-2</v>
      </c>
      <c r="AK118" s="137">
        <v>0.62180400000000002</v>
      </c>
    </row>
    <row r="119" spans="1:37" x14ac:dyDescent="0.25">
      <c r="A119" s="190" t="s">
        <v>374</v>
      </c>
      <c r="B119" s="93">
        <v>3</v>
      </c>
      <c r="C119" s="176">
        <v>667.21249899999998</v>
      </c>
      <c r="D119" s="137">
        <v>19.836648</v>
      </c>
      <c r="E119" s="137">
        <v>3.0732520000000001</v>
      </c>
      <c r="F119" s="137">
        <v>0.329955</v>
      </c>
      <c r="G119" s="137">
        <f>60/E119</f>
        <v>19.523293241166034</v>
      </c>
      <c r="H119" s="137">
        <v>1.4203166667</v>
      </c>
      <c r="I119" s="137">
        <v>1.6232899999999999</v>
      </c>
      <c r="J119" s="137">
        <v>0.87496175460000003</v>
      </c>
      <c r="K119" s="137">
        <v>19.73</v>
      </c>
      <c r="L119" s="137">
        <v>0.38597999999999999</v>
      </c>
      <c r="M119" s="137">
        <v>0</v>
      </c>
      <c r="N119" s="137">
        <v>0.26923999999999998</v>
      </c>
      <c r="O119" s="137">
        <v>0.10853</v>
      </c>
      <c r="P119" s="137">
        <v>0.10853</v>
      </c>
      <c r="Q119" s="137">
        <v>0</v>
      </c>
      <c r="R119" s="137">
        <v>0</v>
      </c>
      <c r="S119" s="137">
        <v>0</v>
      </c>
      <c r="T119" s="137">
        <v>0.17987</v>
      </c>
      <c r="U119" s="137">
        <v>0</v>
      </c>
      <c r="V119" s="137">
        <v>0.22423999999999999</v>
      </c>
      <c r="W119" s="137">
        <v>0.16006999999999999</v>
      </c>
      <c r="X119" s="137">
        <v>0.27792</v>
      </c>
      <c r="Y119" s="137">
        <v>2.1950000000000001E-2</v>
      </c>
      <c r="Z119" s="137">
        <v>3.8400000000000001E-3</v>
      </c>
      <c r="AA119" s="137">
        <v>4.3899999999999998E-3</v>
      </c>
      <c r="AB119" s="137">
        <v>0.57354000000000005</v>
      </c>
      <c r="AC119" s="137">
        <v>0.71153999999999995</v>
      </c>
      <c r="AD119" s="137">
        <v>0.64212000000000002</v>
      </c>
      <c r="AE119" s="137">
        <v>0.58318999999999999</v>
      </c>
      <c r="AF119" s="137">
        <v>-0.52185000000000004</v>
      </c>
      <c r="AG119" s="137">
        <v>-1.763636</v>
      </c>
      <c r="AH119" s="137">
        <v>0.65212499999999995</v>
      </c>
      <c r="AI119" s="137">
        <v>0.735205</v>
      </c>
      <c r="AJ119" s="137">
        <v>5.9186000000000002E-2</v>
      </c>
      <c r="AK119" s="137">
        <v>0.36419200000000002</v>
      </c>
    </row>
    <row r="120" spans="1:37" x14ac:dyDescent="0.25">
      <c r="A120" s="190" t="s">
        <v>379</v>
      </c>
      <c r="B120" s="93">
        <v>3</v>
      </c>
      <c r="C120" s="176">
        <v>766.98970199999997</v>
      </c>
      <c r="D120" s="137">
        <v>17.579304</v>
      </c>
      <c r="E120" s="137">
        <v>2.411629</v>
      </c>
      <c r="F120" s="137">
        <v>0.27993099999999999</v>
      </c>
      <c r="G120" s="137">
        <f>60/E120</f>
        <v>24.879448704589304</v>
      </c>
      <c r="H120" s="137">
        <v>1.1725026178</v>
      </c>
      <c r="I120" s="137">
        <v>1.220473822</v>
      </c>
      <c r="J120" s="137">
        <v>0.96069460620000002</v>
      </c>
      <c r="K120" s="137">
        <v>14.74</v>
      </c>
      <c r="L120" s="137">
        <v>0.38761000000000001</v>
      </c>
      <c r="M120" s="137">
        <v>0</v>
      </c>
      <c r="N120" s="137">
        <v>0.22974</v>
      </c>
      <c r="O120" s="137">
        <v>0.12717999999999999</v>
      </c>
      <c r="P120" s="137">
        <v>0.12717999999999999</v>
      </c>
      <c r="Q120" s="137">
        <v>1.1000000000000001E-3</v>
      </c>
      <c r="R120" s="137">
        <v>0</v>
      </c>
      <c r="S120" s="137">
        <v>0</v>
      </c>
      <c r="T120" s="137">
        <v>0.15078</v>
      </c>
      <c r="U120" s="137">
        <v>0</v>
      </c>
      <c r="V120" s="137">
        <v>0.17218</v>
      </c>
      <c r="W120" s="137">
        <v>0.18090999999999999</v>
      </c>
      <c r="X120" s="137">
        <v>0.29877999999999999</v>
      </c>
      <c r="Y120" s="137">
        <v>6.0290000000000003E-2</v>
      </c>
      <c r="Z120" s="137">
        <v>6.0299999999999998E-3</v>
      </c>
      <c r="AA120" s="137">
        <v>3.8400000000000001E-3</v>
      </c>
      <c r="AB120" s="137">
        <v>0.60729999999999995</v>
      </c>
      <c r="AC120" s="137">
        <v>0.74387999999999999</v>
      </c>
      <c r="AD120" s="137">
        <v>0.67371000000000003</v>
      </c>
      <c r="AE120" s="137">
        <v>0.60058</v>
      </c>
      <c r="AF120" s="137">
        <v>-0.49481000000000003</v>
      </c>
      <c r="AG120" s="137">
        <v>-1.9090910000000001</v>
      </c>
      <c r="AH120" s="137">
        <v>0.68347199999999997</v>
      </c>
      <c r="AI120" s="137">
        <v>0.74302999999999997</v>
      </c>
      <c r="AJ120" s="137">
        <v>5.6530999999999998E-2</v>
      </c>
      <c r="AK120" s="137">
        <v>0.39356999999999998</v>
      </c>
    </row>
    <row r="121" spans="1:37" ht="15.75" thickBot="1" x14ac:dyDescent="0.3">
      <c r="A121" s="180" t="s">
        <v>384</v>
      </c>
      <c r="B121" s="143">
        <v>3</v>
      </c>
      <c r="C121" s="187">
        <v>750.74867099999994</v>
      </c>
      <c r="D121" s="146">
        <v>15.040948</v>
      </c>
      <c r="E121" s="146">
        <v>2.8738709999999998</v>
      </c>
      <c r="F121" s="146">
        <v>0.48017900000000002</v>
      </c>
      <c r="G121" s="146">
        <f>60/E121</f>
        <v>20.877763824472289</v>
      </c>
      <c r="H121" s="146">
        <v>1.2637360248</v>
      </c>
      <c r="I121" s="146">
        <v>1.5698664596</v>
      </c>
      <c r="J121" s="146">
        <v>0.80499587530000005</v>
      </c>
      <c r="K121" s="146">
        <v>16.54</v>
      </c>
      <c r="L121" s="146">
        <v>0.38251000000000002</v>
      </c>
      <c r="M121" s="146">
        <v>0</v>
      </c>
      <c r="N121" s="146">
        <v>0.27001999999999998</v>
      </c>
      <c r="O121" s="146">
        <v>0.11364</v>
      </c>
      <c r="P121" s="146">
        <v>0.11362</v>
      </c>
      <c r="Q121" s="146">
        <v>1.0000000000000001E-5</v>
      </c>
      <c r="R121" s="146">
        <v>0</v>
      </c>
      <c r="S121" s="146">
        <v>0</v>
      </c>
      <c r="T121" s="146">
        <v>0.19481000000000001</v>
      </c>
      <c r="U121" s="146">
        <v>0</v>
      </c>
      <c r="V121" s="146">
        <v>0.18056</v>
      </c>
      <c r="W121" s="146">
        <v>0.15808</v>
      </c>
      <c r="X121" s="146">
        <v>0.29365000000000002</v>
      </c>
      <c r="Y121" s="146">
        <v>4.7210000000000002E-2</v>
      </c>
      <c r="Z121" s="146">
        <v>2.7399999999999998E-3</v>
      </c>
      <c r="AA121" s="146">
        <v>2.7399999999999998E-3</v>
      </c>
      <c r="AB121" s="146">
        <v>0.59016999999999997</v>
      </c>
      <c r="AC121" s="146">
        <v>0.72135000000000005</v>
      </c>
      <c r="AD121" s="146">
        <v>0.65617999999999999</v>
      </c>
      <c r="AE121" s="146">
        <v>0.59606999999999999</v>
      </c>
      <c r="AF121" s="146">
        <v>-0.26017000000000001</v>
      </c>
      <c r="AG121" s="146">
        <v>-1.9818180000000001</v>
      </c>
      <c r="AH121" s="146">
        <v>0.73183699999999996</v>
      </c>
      <c r="AI121" s="146">
        <v>0.740923</v>
      </c>
      <c r="AJ121" s="146">
        <v>1.5405E-2</v>
      </c>
      <c r="AK121" s="146">
        <v>0.468053</v>
      </c>
    </row>
    <row r="122" spans="1:37" x14ac:dyDescent="0.25">
      <c r="A122" s="202" t="s">
        <v>426</v>
      </c>
      <c r="B122" s="185">
        <v>4</v>
      </c>
      <c r="C122" s="154">
        <v>823.76</v>
      </c>
      <c r="D122" s="15">
        <v>44.13</v>
      </c>
      <c r="E122" s="15">
        <v>3.13</v>
      </c>
      <c r="F122" s="15">
        <v>0.42</v>
      </c>
      <c r="G122" s="200">
        <f t="shared" ref="G122:G155" si="0">60/E122</f>
        <v>19.16932907348243</v>
      </c>
      <c r="H122" s="15">
        <v>1.8044543379</v>
      </c>
      <c r="I122" s="15">
        <v>1.2729260705000001</v>
      </c>
      <c r="J122" s="15">
        <v>1.4175641301999999</v>
      </c>
      <c r="K122" s="15">
        <v>61.23</v>
      </c>
      <c r="L122" s="155">
        <v>0.38258999999999999</v>
      </c>
      <c r="M122" s="155">
        <v>0</v>
      </c>
      <c r="N122" s="155">
        <v>0.28078999999999998</v>
      </c>
      <c r="O122" s="155">
        <v>0.104</v>
      </c>
      <c r="P122" s="155">
        <v>0.104</v>
      </c>
      <c r="Q122" s="155">
        <v>0</v>
      </c>
      <c r="R122" s="155">
        <v>0</v>
      </c>
      <c r="S122" s="155">
        <v>0</v>
      </c>
      <c r="T122" s="155">
        <v>0.14777999999999999</v>
      </c>
      <c r="U122" s="155">
        <v>0</v>
      </c>
      <c r="V122" s="155">
        <v>0.20963000000000001</v>
      </c>
      <c r="W122" s="155">
        <v>0.18773999999999999</v>
      </c>
      <c r="X122" s="155">
        <v>0.31363000000000002</v>
      </c>
      <c r="Y122" s="155">
        <v>1.04E-2</v>
      </c>
      <c r="Z122" s="155">
        <v>2.1900000000000001E-3</v>
      </c>
      <c r="AA122" s="155">
        <v>0</v>
      </c>
      <c r="AB122" s="155">
        <v>0.54091</v>
      </c>
      <c r="AC122" s="155">
        <v>0.67190000000000005</v>
      </c>
      <c r="AD122" s="155">
        <v>0.60648000000000002</v>
      </c>
      <c r="AE122" s="155">
        <v>0.53995000000000004</v>
      </c>
      <c r="AF122" s="155">
        <v>-0.27515000000000001</v>
      </c>
      <c r="AG122" s="155">
        <v>-2</v>
      </c>
      <c r="AH122" s="155">
        <v>0.74707999999999997</v>
      </c>
      <c r="AI122" s="155">
        <v>0.76302499999999995</v>
      </c>
      <c r="AJ122" s="155">
        <v>3.5650000000000001E-2</v>
      </c>
      <c r="AK122" s="155">
        <v>0.50061299999999997</v>
      </c>
    </row>
    <row r="123" spans="1:37" x14ac:dyDescent="0.25">
      <c r="A123" s="202" t="s">
        <v>427</v>
      </c>
      <c r="B123" s="185">
        <v>4</v>
      </c>
      <c r="C123" s="154">
        <v>1226.32</v>
      </c>
      <c r="D123" s="15">
        <v>110.23</v>
      </c>
      <c r="E123" s="15">
        <v>6.27</v>
      </c>
      <c r="F123" s="15">
        <v>1.24</v>
      </c>
      <c r="G123" s="200">
        <f t="shared" si="0"/>
        <v>9.5693779904306222</v>
      </c>
      <c r="H123" s="15">
        <v>3.3501345615</v>
      </c>
      <c r="I123" s="15">
        <v>2.5923487388000002</v>
      </c>
      <c r="J123" s="15">
        <v>1.2923163120000001</v>
      </c>
      <c r="K123" s="15">
        <v>67.77</v>
      </c>
      <c r="L123" s="155">
        <v>0.46337</v>
      </c>
      <c r="M123" s="155">
        <v>0</v>
      </c>
      <c r="N123" s="155">
        <v>0.3624</v>
      </c>
      <c r="O123" s="155">
        <v>5.1650000000000001E-2</v>
      </c>
      <c r="P123" s="155">
        <v>5.0509999999999999E-2</v>
      </c>
      <c r="Q123" s="155">
        <v>5.6999999999999998E-4</v>
      </c>
      <c r="R123" s="155">
        <v>0</v>
      </c>
      <c r="S123" s="155">
        <v>0</v>
      </c>
      <c r="T123" s="155">
        <v>0.35326000000000002</v>
      </c>
      <c r="U123" s="155">
        <v>0</v>
      </c>
      <c r="V123" s="155">
        <v>0.31587999999999999</v>
      </c>
      <c r="W123" s="155">
        <v>9.0810000000000002E-2</v>
      </c>
      <c r="X123" s="155">
        <v>0.16344</v>
      </c>
      <c r="Y123" s="155">
        <v>1.7099999999999999E-3</v>
      </c>
      <c r="Z123" s="155">
        <v>2.2699999999999999E-3</v>
      </c>
      <c r="AA123" s="155">
        <v>1.1299999999999999E-3</v>
      </c>
      <c r="AB123" s="155">
        <v>0.52622999999999998</v>
      </c>
      <c r="AC123" s="155">
        <v>0.67215999999999998</v>
      </c>
      <c r="AD123" s="155">
        <v>0.53164</v>
      </c>
      <c r="AE123" s="155">
        <v>0.48742000000000002</v>
      </c>
      <c r="AF123" s="155">
        <v>-0.38757999999999998</v>
      </c>
      <c r="AG123" s="155">
        <v>-1.1403509999999999</v>
      </c>
      <c r="AH123" s="155">
        <v>0.59052700000000002</v>
      </c>
      <c r="AI123" s="155">
        <v>0.57768600000000003</v>
      </c>
      <c r="AJ123" s="155">
        <v>8.1821000000000005E-2</v>
      </c>
      <c r="AK123" s="155">
        <v>0.205709</v>
      </c>
    </row>
    <row r="124" spans="1:37" x14ac:dyDescent="0.25">
      <c r="A124" s="202" t="s">
        <v>428</v>
      </c>
      <c r="B124" s="185">
        <v>4</v>
      </c>
      <c r="C124" s="154">
        <v>784.25</v>
      </c>
      <c r="D124" s="15">
        <v>38.01</v>
      </c>
      <c r="E124" s="15">
        <v>3</v>
      </c>
      <c r="F124" s="15">
        <v>0.31</v>
      </c>
      <c r="G124" s="200">
        <f t="shared" si="0"/>
        <v>20</v>
      </c>
      <c r="H124" s="15">
        <v>1.6798438570000001</v>
      </c>
      <c r="I124" s="15">
        <v>1.2923277912</v>
      </c>
      <c r="J124" s="15">
        <v>1.2998589587</v>
      </c>
      <c r="K124" s="15">
        <v>35.21</v>
      </c>
      <c r="L124" s="155">
        <v>0.38102000000000003</v>
      </c>
      <c r="M124" s="155">
        <v>0</v>
      </c>
      <c r="N124" s="155">
        <v>0.28925000000000001</v>
      </c>
      <c r="O124" s="155">
        <v>0.10174999999999999</v>
      </c>
      <c r="P124" s="155">
        <v>0.10174999999999999</v>
      </c>
      <c r="Q124" s="155">
        <v>0</v>
      </c>
      <c r="R124" s="155">
        <v>0</v>
      </c>
      <c r="S124" s="155">
        <v>0</v>
      </c>
      <c r="T124" s="155">
        <v>0.13916000000000001</v>
      </c>
      <c r="U124" s="155">
        <v>0</v>
      </c>
      <c r="V124" s="155">
        <v>0.21251999999999999</v>
      </c>
      <c r="W124" s="155">
        <v>0.18182000000000001</v>
      </c>
      <c r="X124" s="155">
        <v>0.30137000000000003</v>
      </c>
      <c r="Y124" s="155">
        <v>3.0020000000000002E-2</v>
      </c>
      <c r="Z124" s="155">
        <v>5.5599999999999998E-3</v>
      </c>
      <c r="AA124" s="155">
        <v>3.3400000000000001E-3</v>
      </c>
      <c r="AB124" s="155">
        <v>0.56940999999999997</v>
      </c>
      <c r="AC124" s="155">
        <v>0.70755000000000001</v>
      </c>
      <c r="AD124" s="155">
        <v>0.63029999999999997</v>
      </c>
      <c r="AE124" s="155">
        <v>0.56106999999999996</v>
      </c>
      <c r="AF124" s="155">
        <v>-0.39495000000000002</v>
      </c>
      <c r="AG124" s="155">
        <v>-1.8771929999999999</v>
      </c>
      <c r="AH124" s="155">
        <v>0.63350099999999998</v>
      </c>
      <c r="AI124" s="155">
        <v>0.69881300000000002</v>
      </c>
      <c r="AJ124" s="155">
        <v>3.6547999999999997E-2</v>
      </c>
      <c r="AK124" s="155">
        <v>0.42174699999999998</v>
      </c>
    </row>
    <row r="125" spans="1:37" x14ac:dyDescent="0.25">
      <c r="A125" s="202" t="s">
        <v>429</v>
      </c>
      <c r="B125" s="185">
        <v>4</v>
      </c>
      <c r="C125" s="154">
        <v>760.4</v>
      </c>
      <c r="D125" s="15">
        <v>43.56</v>
      </c>
      <c r="E125" s="15">
        <v>3.86</v>
      </c>
      <c r="F125" s="15">
        <v>0.31</v>
      </c>
      <c r="G125" s="200">
        <f t="shared" si="0"/>
        <v>15.544041450777202</v>
      </c>
      <c r="H125" s="15">
        <v>2.0569937587</v>
      </c>
      <c r="I125" s="15">
        <v>1.7773666627</v>
      </c>
      <c r="J125" s="15">
        <v>1.1573266235999999</v>
      </c>
      <c r="K125" s="15">
        <v>34.950000000000003</v>
      </c>
      <c r="L125" s="155">
        <v>0.39349000000000001</v>
      </c>
      <c r="M125" s="155">
        <v>2.2399999999999998E-3</v>
      </c>
      <c r="N125" s="155">
        <v>0.35198000000000002</v>
      </c>
      <c r="O125" s="155">
        <v>9.1370000000000007E-2</v>
      </c>
      <c r="P125" s="155">
        <v>9.1370000000000007E-2</v>
      </c>
      <c r="Q125" s="155">
        <v>0</v>
      </c>
      <c r="R125" s="155">
        <v>0</v>
      </c>
      <c r="S125" s="155">
        <v>0</v>
      </c>
      <c r="T125" s="155">
        <v>0.33396999999999999</v>
      </c>
      <c r="U125" s="155">
        <v>0</v>
      </c>
      <c r="V125" s="155">
        <v>0.28863</v>
      </c>
      <c r="W125" s="155">
        <v>0.10150000000000001</v>
      </c>
      <c r="X125" s="155">
        <v>0.17496</v>
      </c>
      <c r="Y125" s="155">
        <v>2.691E-2</v>
      </c>
      <c r="Z125" s="155">
        <v>2.2399999999999998E-3</v>
      </c>
      <c r="AA125" s="155">
        <v>2.2399999999999998E-3</v>
      </c>
      <c r="AB125" s="155">
        <v>0.58735999999999999</v>
      </c>
      <c r="AC125" s="155">
        <v>0.72599999999999998</v>
      </c>
      <c r="AD125" s="155">
        <v>0.59221000000000001</v>
      </c>
      <c r="AE125" s="155">
        <v>0.53700999999999999</v>
      </c>
      <c r="AF125" s="155">
        <v>-0.27321000000000001</v>
      </c>
      <c r="AG125" s="155">
        <v>-0.982456</v>
      </c>
      <c r="AH125" s="155">
        <v>0.53739400000000004</v>
      </c>
      <c r="AI125" s="155">
        <v>0.51841700000000002</v>
      </c>
      <c r="AJ125" s="155">
        <v>6.9754999999999998E-2</v>
      </c>
      <c r="AK125" s="155">
        <v>0.15112</v>
      </c>
    </row>
    <row r="126" spans="1:37" x14ac:dyDescent="0.25">
      <c r="A126" s="202" t="s">
        <v>430</v>
      </c>
      <c r="B126" s="185">
        <v>4</v>
      </c>
      <c r="C126" s="154">
        <v>779.69</v>
      </c>
      <c r="D126" s="15">
        <v>50.22</v>
      </c>
      <c r="E126" s="15">
        <v>3.74</v>
      </c>
      <c r="F126" s="15">
        <v>0.42</v>
      </c>
      <c r="G126" s="200">
        <f t="shared" si="0"/>
        <v>16.042780748663102</v>
      </c>
      <c r="H126" s="15">
        <v>1.9312982675999999</v>
      </c>
      <c r="I126" s="15">
        <v>1.7551180470000001</v>
      </c>
      <c r="J126" s="15">
        <v>1.1003808382</v>
      </c>
      <c r="K126" s="15">
        <v>70.17</v>
      </c>
      <c r="L126" s="155">
        <v>0.38947999999999999</v>
      </c>
      <c r="M126" s="155">
        <v>5.5399999999999998E-3</v>
      </c>
      <c r="N126" s="155">
        <v>0.31968999999999997</v>
      </c>
      <c r="O126" s="155">
        <v>8.2549999999999998E-2</v>
      </c>
      <c r="P126" s="155">
        <v>8.5879999999999998E-2</v>
      </c>
      <c r="Q126" s="155">
        <v>2.7699999999999999E-3</v>
      </c>
      <c r="R126" s="155">
        <v>0</v>
      </c>
      <c r="S126" s="155">
        <v>0</v>
      </c>
      <c r="T126" s="155">
        <v>0.18623000000000001</v>
      </c>
      <c r="U126" s="155">
        <v>0</v>
      </c>
      <c r="V126" s="155">
        <v>0.27700999999999998</v>
      </c>
      <c r="W126" s="155">
        <v>0.14956</v>
      </c>
      <c r="X126" s="155">
        <v>0.25923000000000002</v>
      </c>
      <c r="Y126" s="155">
        <v>1.2200000000000001E-2</v>
      </c>
      <c r="Z126" s="155">
        <v>1.1100000000000001E-3</v>
      </c>
      <c r="AA126" s="155">
        <v>5.5000000000000003E-4</v>
      </c>
      <c r="AB126" s="155">
        <v>0.55335999999999996</v>
      </c>
      <c r="AC126" s="155">
        <v>0.71453</v>
      </c>
      <c r="AD126" s="155">
        <v>0.61143999999999998</v>
      </c>
      <c r="AE126" s="155">
        <v>0.56662999999999997</v>
      </c>
      <c r="AF126" s="155">
        <v>-0.24956</v>
      </c>
      <c r="AG126" s="155">
        <v>-1.54386</v>
      </c>
      <c r="AH126" s="155">
        <v>0.69354400000000005</v>
      </c>
      <c r="AI126" s="155">
        <v>0.62784799999999996</v>
      </c>
      <c r="AJ126" s="155">
        <v>5.0383999999999998E-2</v>
      </c>
      <c r="AK126" s="155">
        <v>0.27155499999999999</v>
      </c>
    </row>
    <row r="127" spans="1:37" x14ac:dyDescent="0.25">
      <c r="A127" s="202" t="s">
        <v>431</v>
      </c>
      <c r="B127" s="185">
        <v>4</v>
      </c>
      <c r="C127" s="154">
        <v>1209.56</v>
      </c>
      <c r="D127" s="15">
        <v>58.33</v>
      </c>
      <c r="E127" s="15">
        <v>3.47</v>
      </c>
      <c r="F127" s="15">
        <v>0.47</v>
      </c>
      <c r="G127" s="200">
        <f t="shared" si="0"/>
        <v>17.291066282420747</v>
      </c>
      <c r="H127" s="15">
        <v>1.7564755113999999</v>
      </c>
      <c r="I127" s="15">
        <v>1.6585166361999999</v>
      </c>
      <c r="J127" s="15">
        <v>1.0590641499</v>
      </c>
      <c r="K127" s="15">
        <v>54.61</v>
      </c>
      <c r="L127" s="155">
        <v>0.37877</v>
      </c>
      <c r="M127" s="155">
        <v>1.7099999999999999E-3</v>
      </c>
      <c r="N127" s="155">
        <v>0.31969999999999998</v>
      </c>
      <c r="O127" s="155">
        <v>9.7100000000000006E-2</v>
      </c>
      <c r="P127" s="155">
        <v>9.4259999999999997E-2</v>
      </c>
      <c r="Q127" s="155">
        <v>0</v>
      </c>
      <c r="R127" s="155">
        <v>0</v>
      </c>
      <c r="S127" s="155">
        <v>0</v>
      </c>
      <c r="T127" s="155">
        <v>0.22428000000000001</v>
      </c>
      <c r="U127" s="155">
        <v>0</v>
      </c>
      <c r="V127" s="155">
        <v>0.23512</v>
      </c>
      <c r="W127" s="155">
        <v>0.16070000000000001</v>
      </c>
      <c r="X127" s="155">
        <v>0.26973000000000003</v>
      </c>
      <c r="Y127" s="155">
        <v>1.0000000000000001E-5</v>
      </c>
      <c r="Z127" s="155">
        <v>1.6999999999999999E-3</v>
      </c>
      <c r="AA127" s="155">
        <v>0</v>
      </c>
      <c r="AB127" s="155">
        <v>0.54823999999999995</v>
      </c>
      <c r="AC127" s="155">
        <v>0.66790000000000005</v>
      </c>
      <c r="AD127" s="155">
        <v>0.60729</v>
      </c>
      <c r="AE127" s="155">
        <v>0.56059000000000003</v>
      </c>
      <c r="AF127" s="155">
        <v>-0.24376999999999999</v>
      </c>
      <c r="AG127" s="155">
        <v>-1.77193</v>
      </c>
      <c r="AH127" s="155">
        <v>0.72342200000000001</v>
      </c>
      <c r="AI127" s="155">
        <v>0.72121000000000002</v>
      </c>
      <c r="AJ127" s="155">
        <v>6.5824999999999995E-2</v>
      </c>
      <c r="AK127" s="155">
        <v>0.36859500000000001</v>
      </c>
    </row>
    <row r="128" spans="1:37" x14ac:dyDescent="0.25">
      <c r="A128" s="202" t="s">
        <v>432</v>
      </c>
      <c r="B128" s="185">
        <v>4</v>
      </c>
      <c r="C128" s="154">
        <v>924.66</v>
      </c>
      <c r="D128" s="15">
        <v>36.049999999999997</v>
      </c>
      <c r="E128" s="15">
        <v>3.75</v>
      </c>
      <c r="F128" s="15">
        <v>0.34</v>
      </c>
      <c r="G128" s="200">
        <f t="shared" si="0"/>
        <v>16</v>
      </c>
      <c r="H128" s="15">
        <v>2.1194394786999999</v>
      </c>
      <c r="I128" s="15">
        <v>1.6021938483</v>
      </c>
      <c r="J128" s="15">
        <v>1.3228358609999999</v>
      </c>
      <c r="K128" s="15">
        <v>39.130000000000003</v>
      </c>
      <c r="L128" s="155">
        <v>0.41444999999999999</v>
      </c>
      <c r="M128" s="155">
        <v>0</v>
      </c>
      <c r="N128" s="155">
        <v>0.30567</v>
      </c>
      <c r="O128" s="155">
        <v>8.4140000000000006E-2</v>
      </c>
      <c r="P128" s="155">
        <v>8.4129999999999996E-2</v>
      </c>
      <c r="Q128" s="155">
        <v>0</v>
      </c>
      <c r="R128" s="155">
        <v>0</v>
      </c>
      <c r="S128" s="155">
        <v>0</v>
      </c>
      <c r="T128" s="155">
        <v>0.18062</v>
      </c>
      <c r="U128" s="155">
        <v>0</v>
      </c>
      <c r="V128" s="155">
        <v>0.28039999999999998</v>
      </c>
      <c r="W128" s="155">
        <v>0.15256</v>
      </c>
      <c r="X128" s="155">
        <v>0.26640999999999998</v>
      </c>
      <c r="Y128" s="155">
        <v>3.3600000000000001E-3</v>
      </c>
      <c r="Z128" s="155">
        <v>3.3600000000000001E-3</v>
      </c>
      <c r="AA128" s="155">
        <v>1.6800000000000001E-3</v>
      </c>
      <c r="AB128" s="155">
        <v>0.54052</v>
      </c>
      <c r="AC128" s="155">
        <v>0.68440000000000001</v>
      </c>
      <c r="AD128" s="155">
        <v>0.60255000000000003</v>
      </c>
      <c r="AE128" s="155">
        <v>0.56072999999999995</v>
      </c>
      <c r="AF128" s="155">
        <v>-0.29661999999999999</v>
      </c>
      <c r="AG128" s="155">
        <v>-1.8947369999999999</v>
      </c>
      <c r="AH128" s="155">
        <v>0.62864900000000001</v>
      </c>
      <c r="AI128" s="155">
        <v>0.75873100000000004</v>
      </c>
      <c r="AJ128" s="155">
        <v>6.4230999999999996E-2</v>
      </c>
      <c r="AK128" s="155">
        <v>0.46281899999999998</v>
      </c>
    </row>
    <row r="129" spans="1:37" x14ac:dyDescent="0.25">
      <c r="A129" s="202" t="s">
        <v>433</v>
      </c>
      <c r="B129" s="185">
        <v>4</v>
      </c>
      <c r="C129" s="154">
        <v>1033.55</v>
      </c>
      <c r="D129" s="15">
        <v>82.86</v>
      </c>
      <c r="E129" s="15">
        <v>8.07</v>
      </c>
      <c r="F129" s="15">
        <v>2.6</v>
      </c>
      <c r="G129" s="200">
        <f t="shared" si="0"/>
        <v>7.4349442379182156</v>
      </c>
      <c r="H129" s="15">
        <v>4.1154549007999996</v>
      </c>
      <c r="I129" s="15">
        <v>2.9540214236</v>
      </c>
      <c r="J129" s="15">
        <v>1.3931702959000001</v>
      </c>
      <c r="K129" s="15">
        <v>162.91</v>
      </c>
      <c r="L129" s="155">
        <v>0.43913000000000002</v>
      </c>
      <c r="M129" s="155">
        <v>0</v>
      </c>
      <c r="N129" s="155">
        <v>0.42393999999999998</v>
      </c>
      <c r="O129" s="155">
        <v>3.4799999999999998E-2</v>
      </c>
      <c r="P129" s="155">
        <v>3.4799999999999998E-2</v>
      </c>
      <c r="Q129" s="155">
        <v>0</v>
      </c>
      <c r="R129" s="155">
        <v>0</v>
      </c>
      <c r="S129" s="155">
        <v>0</v>
      </c>
      <c r="T129" s="155">
        <v>0.40705000000000002</v>
      </c>
      <c r="U129" s="155">
        <v>0</v>
      </c>
      <c r="V129" s="155">
        <v>0.28882999999999998</v>
      </c>
      <c r="W129" s="155">
        <v>7.8E-2</v>
      </c>
      <c r="X129" s="155">
        <v>0.15373999999999999</v>
      </c>
      <c r="Y129" s="155">
        <v>1.1199999999999999E-3</v>
      </c>
      <c r="Z129" s="155">
        <v>2.2399999999999998E-3</v>
      </c>
      <c r="AA129" s="155">
        <v>1.6800000000000001E-3</v>
      </c>
      <c r="AB129" s="155">
        <v>0.50266</v>
      </c>
      <c r="AC129" s="155">
        <v>0.65883000000000003</v>
      </c>
      <c r="AD129" s="155">
        <v>0.49980999999999998</v>
      </c>
      <c r="AE129" s="155">
        <v>0.45318999999999998</v>
      </c>
      <c r="AF129" s="155">
        <v>-0.34828999999999999</v>
      </c>
      <c r="AG129" s="155">
        <v>-1.9122809999999999</v>
      </c>
      <c r="AH129" s="155">
        <v>0.45876600000000001</v>
      </c>
      <c r="AI129" s="155">
        <v>0.55160900000000002</v>
      </c>
      <c r="AJ129" s="155">
        <v>2.9517000000000002E-2</v>
      </c>
      <c r="AK129" s="155">
        <v>0.24507300000000001</v>
      </c>
    </row>
    <row r="130" spans="1:37" x14ac:dyDescent="0.25">
      <c r="A130" s="202" t="s">
        <v>434</v>
      </c>
      <c r="B130" s="185">
        <v>4</v>
      </c>
      <c r="C130" s="154">
        <v>846.2</v>
      </c>
      <c r="D130" s="15">
        <v>82.5</v>
      </c>
      <c r="E130" s="15">
        <v>3.91</v>
      </c>
      <c r="F130" s="15">
        <v>0.48</v>
      </c>
      <c r="G130" s="200">
        <f t="shared" si="0"/>
        <v>15.345268542199488</v>
      </c>
      <c r="H130" s="15">
        <v>2.3557372665999998</v>
      </c>
      <c r="I130" s="15">
        <v>1.4927347863</v>
      </c>
      <c r="J130" s="15">
        <v>1.5781351706</v>
      </c>
      <c r="K130" s="15">
        <v>108.67</v>
      </c>
      <c r="L130" s="155">
        <v>0.38919999999999999</v>
      </c>
      <c r="M130" s="155">
        <v>0</v>
      </c>
      <c r="N130" s="155">
        <v>0.33338000000000001</v>
      </c>
      <c r="O130" s="155">
        <v>7.9259999999999997E-2</v>
      </c>
      <c r="P130" s="155">
        <v>8.0379999999999993E-2</v>
      </c>
      <c r="Q130" s="155">
        <v>5.5999999999999995E-4</v>
      </c>
      <c r="R130" s="155">
        <v>0</v>
      </c>
      <c r="S130" s="155">
        <v>0</v>
      </c>
      <c r="T130" s="155">
        <v>0.25134000000000001</v>
      </c>
      <c r="U130" s="155">
        <v>0</v>
      </c>
      <c r="V130" s="155">
        <v>0.25685999999999998</v>
      </c>
      <c r="W130" s="155">
        <v>0.11556</v>
      </c>
      <c r="X130" s="155">
        <v>0.23780999999999999</v>
      </c>
      <c r="Y130" s="155">
        <v>1.9529999999999999E-2</v>
      </c>
      <c r="Z130" s="155">
        <v>0</v>
      </c>
      <c r="AA130" s="155">
        <v>1.6800000000000001E-3</v>
      </c>
      <c r="AB130" s="155">
        <v>0.55354000000000003</v>
      </c>
      <c r="AC130" s="155">
        <v>0.68386999999999998</v>
      </c>
      <c r="AD130" s="155">
        <v>0.61148000000000002</v>
      </c>
      <c r="AE130" s="155">
        <v>0.56042999999999998</v>
      </c>
      <c r="AF130" s="155">
        <v>-0.28508</v>
      </c>
      <c r="AG130" s="155">
        <v>-1.5964910000000001</v>
      </c>
      <c r="AH130" s="155">
        <v>0.70396300000000001</v>
      </c>
      <c r="AI130" s="155">
        <v>0.64426300000000003</v>
      </c>
      <c r="AJ130" s="155">
        <v>4.6844999999999998E-2</v>
      </c>
      <c r="AK130" s="155">
        <v>0.30696499999999999</v>
      </c>
    </row>
    <row r="131" spans="1:37" x14ac:dyDescent="0.25">
      <c r="A131" s="202" t="s">
        <v>435</v>
      </c>
      <c r="B131" s="185">
        <v>4</v>
      </c>
      <c r="C131" s="154">
        <v>998.99</v>
      </c>
      <c r="D131" s="15">
        <v>56.06</v>
      </c>
      <c r="E131" s="15">
        <v>4.1399999999999997</v>
      </c>
      <c r="F131" s="15">
        <v>0.54</v>
      </c>
      <c r="G131" s="200">
        <f t="shared" si="0"/>
        <v>14.492753623188406</v>
      </c>
      <c r="H131" s="15">
        <v>2.3348492486999999</v>
      </c>
      <c r="I131" s="15">
        <v>1.7369315744</v>
      </c>
      <c r="J131" s="15">
        <v>1.3442378981000001</v>
      </c>
      <c r="K131" s="15">
        <v>114.18</v>
      </c>
      <c r="L131" s="155">
        <v>0.42358000000000001</v>
      </c>
      <c r="M131" s="155">
        <v>0</v>
      </c>
      <c r="N131" s="155">
        <v>0.32752999999999999</v>
      </c>
      <c r="O131" s="155">
        <v>7.0230000000000001E-2</v>
      </c>
      <c r="P131" s="155">
        <v>6.9669999999999996E-2</v>
      </c>
      <c r="Q131" s="155">
        <v>0</v>
      </c>
      <c r="R131" s="155">
        <v>0</v>
      </c>
      <c r="S131" s="155">
        <v>0</v>
      </c>
      <c r="T131" s="155">
        <v>0.22417000000000001</v>
      </c>
      <c r="U131" s="155">
        <v>0</v>
      </c>
      <c r="V131" s="155">
        <v>0.28200999999999998</v>
      </c>
      <c r="W131" s="155">
        <v>0.13707</v>
      </c>
      <c r="X131" s="155">
        <v>0.2455</v>
      </c>
      <c r="Y131" s="155">
        <v>5.6999999999999998E-4</v>
      </c>
      <c r="Z131" s="155">
        <v>1.6800000000000001E-3</v>
      </c>
      <c r="AA131" s="155">
        <v>0</v>
      </c>
      <c r="AB131" s="155">
        <v>0.52017999999999998</v>
      </c>
      <c r="AC131" s="155">
        <v>0.63627</v>
      </c>
      <c r="AD131" s="155">
        <v>0.58757000000000004</v>
      </c>
      <c r="AE131" s="155">
        <v>0.55269999999999997</v>
      </c>
      <c r="AF131" s="155">
        <v>-0.31208999999999998</v>
      </c>
      <c r="AG131" s="155">
        <v>-1.964912</v>
      </c>
      <c r="AH131" s="155">
        <v>0.65014000000000005</v>
      </c>
      <c r="AI131" s="155">
        <v>0.71291199999999999</v>
      </c>
      <c r="AJ131" s="155">
        <v>3.4077999999999997E-2</v>
      </c>
      <c r="AK131" s="155">
        <v>0.55257900000000004</v>
      </c>
    </row>
    <row r="132" spans="1:37" x14ac:dyDescent="0.25">
      <c r="A132" s="202" t="s">
        <v>436</v>
      </c>
      <c r="B132" s="185">
        <v>4</v>
      </c>
      <c r="C132" s="154">
        <v>1065.02</v>
      </c>
      <c r="D132" s="15">
        <v>49.72</v>
      </c>
      <c r="E132" s="15">
        <v>4.87</v>
      </c>
      <c r="F132" s="15">
        <v>0.87</v>
      </c>
      <c r="G132" s="200">
        <f t="shared" si="0"/>
        <v>12.320328542094456</v>
      </c>
      <c r="H132" s="15">
        <v>2.6396782640000001</v>
      </c>
      <c r="I132" s="15">
        <v>2.1000758620000002</v>
      </c>
      <c r="J132" s="15">
        <v>1.2569442426999999</v>
      </c>
      <c r="K132" s="15">
        <v>77.37</v>
      </c>
      <c r="L132" s="155">
        <v>0.42165000000000002</v>
      </c>
      <c r="M132" s="155">
        <v>0</v>
      </c>
      <c r="N132" s="155">
        <v>0.36018</v>
      </c>
      <c r="O132" s="155">
        <v>6.2570000000000001E-2</v>
      </c>
      <c r="P132" s="155">
        <v>6.2570000000000001E-2</v>
      </c>
      <c r="Q132" s="155">
        <v>0</v>
      </c>
      <c r="R132" s="155">
        <v>0</v>
      </c>
      <c r="S132" s="155">
        <v>0</v>
      </c>
      <c r="T132" s="155">
        <v>0.21421000000000001</v>
      </c>
      <c r="U132" s="155">
        <v>0</v>
      </c>
      <c r="V132" s="155">
        <v>0.34438000000000002</v>
      </c>
      <c r="W132" s="155">
        <v>0.12570999999999999</v>
      </c>
      <c r="X132" s="155">
        <v>0.21986</v>
      </c>
      <c r="Y132" s="155">
        <v>1.6900000000000001E-3</v>
      </c>
      <c r="Z132" s="155">
        <v>5.5999999999999995E-4</v>
      </c>
      <c r="AA132" s="155">
        <v>5.5999999999999995E-4</v>
      </c>
      <c r="AB132" s="155">
        <v>0.52861999999999998</v>
      </c>
      <c r="AC132" s="155">
        <v>0.65193999999999996</v>
      </c>
      <c r="AD132" s="155">
        <v>0.57265999999999995</v>
      </c>
      <c r="AE132" s="155">
        <v>0.53417999999999999</v>
      </c>
      <c r="AF132" s="155">
        <v>-0.31794</v>
      </c>
      <c r="AG132" s="155">
        <v>-1.9298249999999999</v>
      </c>
      <c r="AH132" s="155">
        <v>0.676369</v>
      </c>
      <c r="AI132" s="155">
        <v>0.72941199999999995</v>
      </c>
      <c r="AJ132" s="155">
        <v>2.5967E-2</v>
      </c>
      <c r="AK132" s="155">
        <v>0.45949800000000002</v>
      </c>
    </row>
    <row r="133" spans="1:37" x14ac:dyDescent="0.25">
      <c r="A133" s="202" t="s">
        <v>437</v>
      </c>
      <c r="B133" s="185">
        <v>4</v>
      </c>
      <c r="C133" s="154">
        <v>777.89</v>
      </c>
      <c r="D133" s="15">
        <v>25.35</v>
      </c>
      <c r="E133" s="15">
        <v>4.3600000000000003</v>
      </c>
      <c r="F133" s="15">
        <v>0.6</v>
      </c>
      <c r="G133" s="200">
        <f t="shared" si="0"/>
        <v>13.761467889908255</v>
      </c>
      <c r="H133" s="15">
        <v>2.5943260786</v>
      </c>
      <c r="I133" s="15">
        <v>1.7157026683000001</v>
      </c>
      <c r="J133" s="15">
        <v>1.5121070372000001</v>
      </c>
      <c r="K133" s="15">
        <v>34.33</v>
      </c>
      <c r="L133" s="155">
        <v>0.42737999999999998</v>
      </c>
      <c r="M133" s="155">
        <v>0</v>
      </c>
      <c r="N133" s="155">
        <v>0.33501999999999998</v>
      </c>
      <c r="O133" s="155">
        <v>7.2340000000000002E-2</v>
      </c>
      <c r="P133" s="155">
        <v>7.2340000000000002E-2</v>
      </c>
      <c r="Q133" s="155">
        <v>0</v>
      </c>
      <c r="R133" s="155">
        <v>0</v>
      </c>
      <c r="S133" s="155">
        <v>0</v>
      </c>
      <c r="T133" s="155">
        <v>0.22425999999999999</v>
      </c>
      <c r="U133" s="155">
        <v>0</v>
      </c>
      <c r="V133" s="155">
        <v>0.23712</v>
      </c>
      <c r="W133" s="155">
        <v>0.15468999999999999</v>
      </c>
      <c r="X133" s="155">
        <v>0.24984000000000001</v>
      </c>
      <c r="Y133" s="155">
        <v>3.5040000000000002E-2</v>
      </c>
      <c r="Z133" s="155">
        <v>4.45E-3</v>
      </c>
      <c r="AA133" s="155">
        <v>1.67E-3</v>
      </c>
      <c r="AB133" s="155">
        <v>0.58103000000000005</v>
      </c>
      <c r="AC133" s="155">
        <v>0.71153999999999995</v>
      </c>
      <c r="AD133" s="155">
        <v>0.61207999999999996</v>
      </c>
      <c r="AE133" s="155">
        <v>0.56872999999999996</v>
      </c>
      <c r="AF133" s="155">
        <v>-0.30386000000000002</v>
      </c>
      <c r="AG133" s="155">
        <v>-1.9122809999999999</v>
      </c>
      <c r="AH133" s="155">
        <v>0.67445999999999995</v>
      </c>
      <c r="AI133" s="155">
        <v>0.62354399999999999</v>
      </c>
      <c r="AJ133" s="155">
        <v>2.2957999999999999E-2</v>
      </c>
      <c r="AK133" s="155">
        <v>0.29370000000000002</v>
      </c>
    </row>
    <row r="134" spans="1:37" x14ac:dyDescent="0.25">
      <c r="A134" s="202" t="s">
        <v>438</v>
      </c>
      <c r="B134" s="185">
        <v>4</v>
      </c>
      <c r="C134" s="154">
        <v>746.87</v>
      </c>
      <c r="D134" s="15">
        <v>21.38</v>
      </c>
      <c r="E134" s="15">
        <v>3.14</v>
      </c>
      <c r="F134" s="15">
        <v>0.36</v>
      </c>
      <c r="G134" s="200">
        <f t="shared" si="0"/>
        <v>19.108280254777068</v>
      </c>
      <c r="H134" s="15">
        <v>1.8382198606</v>
      </c>
      <c r="I134" s="15">
        <v>1.2695053074</v>
      </c>
      <c r="J134" s="15">
        <v>1.4479812331999999</v>
      </c>
      <c r="K134" s="15">
        <v>13.54</v>
      </c>
      <c r="L134" s="155">
        <v>0.37641000000000002</v>
      </c>
      <c r="M134" s="155">
        <v>0</v>
      </c>
      <c r="N134" s="155">
        <v>0.32096000000000002</v>
      </c>
      <c r="O134" s="155">
        <v>9.6439999999999998E-2</v>
      </c>
      <c r="P134" s="155">
        <v>9.6439999999999998E-2</v>
      </c>
      <c r="Q134" s="155">
        <v>0</v>
      </c>
      <c r="R134" s="155">
        <v>0</v>
      </c>
      <c r="S134" s="155">
        <v>0</v>
      </c>
      <c r="T134" s="155">
        <v>0.15137</v>
      </c>
      <c r="U134" s="155">
        <v>5.5000000000000003E-4</v>
      </c>
      <c r="V134" s="155">
        <v>0.16245999999999999</v>
      </c>
      <c r="W134" s="155">
        <v>0.18457000000000001</v>
      </c>
      <c r="X134" s="155">
        <v>0.29931000000000002</v>
      </c>
      <c r="Y134" s="155">
        <v>7.6469999999999996E-2</v>
      </c>
      <c r="Z134" s="155">
        <v>8.8699999999999994E-3</v>
      </c>
      <c r="AA134" s="155">
        <v>6.6499999999999997E-3</v>
      </c>
      <c r="AB134" s="155">
        <v>0.60660999999999998</v>
      </c>
      <c r="AC134" s="155">
        <v>0.74053999999999998</v>
      </c>
      <c r="AD134" s="155">
        <v>0.64585999999999999</v>
      </c>
      <c r="AE134" s="155">
        <v>0.57013999999999998</v>
      </c>
      <c r="AF134" s="155">
        <v>-0.50900000000000001</v>
      </c>
      <c r="AG134" s="155">
        <v>-1.3333330000000001</v>
      </c>
      <c r="AH134" s="155">
        <v>0.56606000000000001</v>
      </c>
      <c r="AI134" s="155">
        <v>0.60679499999999997</v>
      </c>
      <c r="AJ134" s="155">
        <v>6.4555000000000001E-2</v>
      </c>
      <c r="AK134" s="155">
        <v>0.224273</v>
      </c>
    </row>
    <row r="135" spans="1:37" x14ac:dyDescent="0.25">
      <c r="A135" s="202" t="s">
        <v>439</v>
      </c>
      <c r="B135" s="185">
        <v>4</v>
      </c>
      <c r="C135" s="154">
        <v>998.52</v>
      </c>
      <c r="D135" s="15">
        <v>60.24</v>
      </c>
      <c r="E135" s="15">
        <v>3.01</v>
      </c>
      <c r="F135" s="15">
        <v>0.33</v>
      </c>
      <c r="G135" s="200">
        <f t="shared" si="0"/>
        <v>19.933554817275748</v>
      </c>
      <c r="H135" s="15">
        <v>1.6814077559</v>
      </c>
      <c r="I135" s="15">
        <v>1.2965067562000001</v>
      </c>
      <c r="J135" s="15">
        <v>1.2968754292</v>
      </c>
      <c r="K135" s="15">
        <v>39.08</v>
      </c>
      <c r="L135" s="155">
        <v>0.37941999999999998</v>
      </c>
      <c r="M135" s="155">
        <v>0</v>
      </c>
      <c r="N135" s="155">
        <v>0.31029000000000001</v>
      </c>
      <c r="O135" s="155">
        <v>0.10066</v>
      </c>
      <c r="P135" s="155">
        <v>9.8449999999999996E-2</v>
      </c>
      <c r="Q135" s="155">
        <v>5.5000000000000003E-4</v>
      </c>
      <c r="R135" s="155">
        <v>0</v>
      </c>
      <c r="S135" s="155">
        <v>0</v>
      </c>
      <c r="T135" s="155">
        <v>0.18472</v>
      </c>
      <c r="U135" s="155">
        <v>0</v>
      </c>
      <c r="V135" s="155">
        <v>0.24332000000000001</v>
      </c>
      <c r="W135" s="155">
        <v>0.17036000000000001</v>
      </c>
      <c r="X135" s="155">
        <v>0.27323999999999998</v>
      </c>
      <c r="Y135" s="155">
        <v>1.4970000000000001E-2</v>
      </c>
      <c r="Z135" s="155">
        <v>2.7699999999999999E-3</v>
      </c>
      <c r="AA135" s="155">
        <v>0</v>
      </c>
      <c r="AB135" s="155">
        <v>0.56937000000000004</v>
      </c>
      <c r="AC135" s="155">
        <v>0.69635999999999998</v>
      </c>
      <c r="AD135" s="155">
        <v>0.62416000000000005</v>
      </c>
      <c r="AE135" s="155">
        <v>0.56938</v>
      </c>
      <c r="AF135" s="155">
        <v>-0.52376</v>
      </c>
      <c r="AG135" s="155">
        <v>-1.3508770000000001</v>
      </c>
      <c r="AH135" s="155">
        <v>0.72709599999999996</v>
      </c>
      <c r="AI135" s="155">
        <v>0.78011900000000001</v>
      </c>
      <c r="AJ135" s="155">
        <v>0.145288</v>
      </c>
      <c r="AK135" s="155">
        <v>0.35170899999999999</v>
      </c>
    </row>
    <row r="136" spans="1:37" x14ac:dyDescent="0.25">
      <c r="A136" s="202" t="s">
        <v>440</v>
      </c>
      <c r="B136" s="185">
        <v>4</v>
      </c>
      <c r="C136" s="154">
        <v>800.28</v>
      </c>
      <c r="D136" s="15">
        <v>36.840000000000003</v>
      </c>
      <c r="E136" s="15">
        <v>3.58</v>
      </c>
      <c r="F136" s="15">
        <v>0.36</v>
      </c>
      <c r="G136" s="200">
        <f t="shared" si="0"/>
        <v>16.759776536312849</v>
      </c>
      <c r="H136" s="15">
        <v>1.9843070236</v>
      </c>
      <c r="I136" s="15">
        <v>1.5658733218000001</v>
      </c>
      <c r="J136" s="15">
        <v>1.2672206595</v>
      </c>
      <c r="K136" s="15">
        <v>26.09</v>
      </c>
      <c r="L136" s="155">
        <v>0.40209</v>
      </c>
      <c r="M136" s="155">
        <v>2.2100000000000002E-3</v>
      </c>
      <c r="N136" s="155">
        <v>0.35726999999999998</v>
      </c>
      <c r="O136" s="155">
        <v>8.4629999999999997E-2</v>
      </c>
      <c r="P136" s="155">
        <v>8.6290000000000006E-2</v>
      </c>
      <c r="Q136" s="155">
        <v>1.1100000000000001E-3</v>
      </c>
      <c r="R136" s="155">
        <v>0</v>
      </c>
      <c r="S136" s="155">
        <v>0</v>
      </c>
      <c r="T136" s="155">
        <v>0.29419000000000001</v>
      </c>
      <c r="U136" s="155">
        <v>0</v>
      </c>
      <c r="V136" s="155">
        <v>0.27045000000000002</v>
      </c>
      <c r="W136" s="155">
        <v>0.13055</v>
      </c>
      <c r="X136" s="155">
        <v>0.18312999999999999</v>
      </c>
      <c r="Y136" s="155">
        <v>4.8099999999999997E-2</v>
      </c>
      <c r="Z136" s="155">
        <v>2.7699999999999999E-3</v>
      </c>
      <c r="AA136" s="155">
        <v>4.4200000000000003E-3</v>
      </c>
      <c r="AB136" s="155">
        <v>0.61297000000000001</v>
      </c>
      <c r="AC136" s="155">
        <v>0.74275999999999998</v>
      </c>
      <c r="AD136" s="155">
        <v>0.61494000000000004</v>
      </c>
      <c r="AE136" s="155">
        <v>0.56247000000000003</v>
      </c>
      <c r="AF136" s="155">
        <v>-0.27932000000000001</v>
      </c>
      <c r="AG136" s="155">
        <v>-1.438596</v>
      </c>
      <c r="AH136" s="155">
        <v>0.61234900000000003</v>
      </c>
      <c r="AI136" s="155">
        <v>0.60776300000000005</v>
      </c>
      <c r="AJ136" s="155">
        <v>6.7830000000000001E-2</v>
      </c>
      <c r="AK136" s="155">
        <v>0.27185900000000002</v>
      </c>
    </row>
    <row r="137" spans="1:37" x14ac:dyDescent="0.25">
      <c r="A137" s="202" t="s">
        <v>441</v>
      </c>
      <c r="B137" s="185">
        <v>4</v>
      </c>
      <c r="C137" s="154">
        <v>811.31</v>
      </c>
      <c r="D137" s="15">
        <v>33.89</v>
      </c>
      <c r="E137" s="15">
        <v>3.76</v>
      </c>
      <c r="F137" s="15">
        <v>0.47</v>
      </c>
      <c r="G137" s="200">
        <f t="shared" si="0"/>
        <v>15.957446808510639</v>
      </c>
      <c r="H137" s="15">
        <v>2.1417439798000002</v>
      </c>
      <c r="I137" s="15">
        <v>1.5697539804</v>
      </c>
      <c r="J137" s="15">
        <v>1.3643819392000001</v>
      </c>
      <c r="K137" s="15">
        <v>31.65</v>
      </c>
      <c r="L137" s="155">
        <v>0.35907</v>
      </c>
      <c r="M137" s="155">
        <v>2.2200000000000002E-3</v>
      </c>
      <c r="N137" s="155">
        <v>0.36181999999999997</v>
      </c>
      <c r="O137" s="155">
        <v>8.4349999999999994E-2</v>
      </c>
      <c r="P137" s="155">
        <v>8.158E-2</v>
      </c>
      <c r="Q137" s="155">
        <v>0</v>
      </c>
      <c r="R137" s="155">
        <v>0</v>
      </c>
      <c r="S137" s="155">
        <v>0</v>
      </c>
      <c r="T137" s="155">
        <v>0.23533000000000001</v>
      </c>
      <c r="U137" s="155">
        <v>5.5000000000000003E-4</v>
      </c>
      <c r="V137" s="155">
        <v>0.25251000000000001</v>
      </c>
      <c r="W137" s="155">
        <v>0.12986</v>
      </c>
      <c r="X137" s="155">
        <v>0.22972000000000001</v>
      </c>
      <c r="Y137" s="155">
        <v>3.4970000000000001E-2</v>
      </c>
      <c r="Z137" s="155">
        <v>3.8800000000000002E-3</v>
      </c>
      <c r="AA137" s="155">
        <v>2.2200000000000002E-3</v>
      </c>
      <c r="AB137" s="155">
        <v>0.58208000000000004</v>
      </c>
      <c r="AC137" s="155">
        <v>0.73258000000000001</v>
      </c>
      <c r="AD137" s="155">
        <v>0.62616000000000005</v>
      </c>
      <c r="AE137" s="155">
        <v>0.56867999999999996</v>
      </c>
      <c r="AF137" s="155">
        <v>-0.33774999999999999</v>
      </c>
      <c r="AG137" s="155">
        <v>-1.6666669999999999</v>
      </c>
      <c r="AH137" s="155">
        <v>0.64171400000000001</v>
      </c>
      <c r="AI137" s="155">
        <v>0.61412299999999997</v>
      </c>
      <c r="AJ137" s="155">
        <v>4.7300000000000002E-2</v>
      </c>
      <c r="AK137" s="155">
        <v>0.25856699999999999</v>
      </c>
    </row>
    <row r="138" spans="1:37" ht="15.75" thickBot="1" x14ac:dyDescent="0.3">
      <c r="A138" s="203" t="s">
        <v>442</v>
      </c>
      <c r="B138" s="194">
        <v>4</v>
      </c>
      <c r="C138" s="156">
        <v>847.64</v>
      </c>
      <c r="D138" s="57">
        <v>35.119999999999997</v>
      </c>
      <c r="E138" s="57">
        <v>4.0199999999999996</v>
      </c>
      <c r="F138" s="57">
        <v>0.43</v>
      </c>
      <c r="G138" s="201">
        <f t="shared" si="0"/>
        <v>14.92537313432836</v>
      </c>
      <c r="H138" s="57">
        <v>2.4066254703999999</v>
      </c>
      <c r="I138" s="57">
        <v>1.5830660916999999</v>
      </c>
      <c r="J138" s="57">
        <v>1.5202305722</v>
      </c>
      <c r="K138" s="57">
        <v>27.05</v>
      </c>
      <c r="L138" s="157">
        <v>0.44236999999999999</v>
      </c>
      <c r="M138" s="157">
        <v>0</v>
      </c>
      <c r="N138" s="157">
        <v>0.29792999999999997</v>
      </c>
      <c r="O138" s="157">
        <v>7.7520000000000006E-2</v>
      </c>
      <c r="P138" s="157">
        <v>7.7520000000000006E-2</v>
      </c>
      <c r="Q138" s="157">
        <v>0</v>
      </c>
      <c r="R138" s="157">
        <v>0</v>
      </c>
      <c r="S138" s="157">
        <v>0</v>
      </c>
      <c r="T138" s="157">
        <v>0.19769999999999999</v>
      </c>
      <c r="U138" s="157">
        <v>1.1100000000000001E-3</v>
      </c>
      <c r="V138" s="157">
        <v>0.28293000000000001</v>
      </c>
      <c r="W138" s="157">
        <v>0.14285</v>
      </c>
      <c r="X138" s="157">
        <v>0.24915999999999999</v>
      </c>
      <c r="Y138" s="157">
        <v>1.8280000000000001E-2</v>
      </c>
      <c r="Z138" s="157">
        <v>2.7699999999999999E-3</v>
      </c>
      <c r="AA138" s="157">
        <v>5.5000000000000003E-4</v>
      </c>
      <c r="AB138" s="157">
        <v>0.55744000000000005</v>
      </c>
      <c r="AC138" s="157">
        <v>0.70118999999999998</v>
      </c>
      <c r="AD138" s="157">
        <v>0.60738000000000003</v>
      </c>
      <c r="AE138" s="157">
        <v>0.56620999999999999</v>
      </c>
      <c r="AF138" s="157">
        <v>-0.55144000000000004</v>
      </c>
      <c r="AG138" s="157">
        <v>-1.526316</v>
      </c>
      <c r="AH138" s="157">
        <v>0.61794300000000002</v>
      </c>
      <c r="AI138" s="157">
        <v>0.60102800000000001</v>
      </c>
      <c r="AJ138" s="157">
        <v>5.3602999999999998E-2</v>
      </c>
      <c r="AK138" s="157">
        <v>0.24329700000000001</v>
      </c>
    </row>
    <row r="139" spans="1:37" x14ac:dyDescent="0.25">
      <c r="A139" s="204" t="s">
        <v>443</v>
      </c>
      <c r="B139" s="189">
        <v>5</v>
      </c>
      <c r="C139" s="158">
        <v>602.14</v>
      </c>
      <c r="D139" s="159">
        <v>14.78</v>
      </c>
      <c r="E139" s="159">
        <v>3.43</v>
      </c>
      <c r="F139" s="159">
        <v>1.37</v>
      </c>
      <c r="G139" s="207">
        <f t="shared" si="0"/>
        <v>17.492711370262391</v>
      </c>
      <c r="H139" s="159">
        <v>1.6430249955</v>
      </c>
      <c r="I139" s="159">
        <v>1.4503413757000001</v>
      </c>
      <c r="J139" s="159">
        <v>1.1328539769999999</v>
      </c>
      <c r="K139" s="159">
        <v>9.02</v>
      </c>
      <c r="L139" s="160">
        <v>0.40286</v>
      </c>
      <c r="M139" s="160">
        <v>0</v>
      </c>
      <c r="N139" s="160">
        <v>0.31217</v>
      </c>
      <c r="O139" s="160">
        <v>0.10672</v>
      </c>
      <c r="P139" s="160">
        <v>0.10068000000000001</v>
      </c>
      <c r="Q139" s="160">
        <v>5.0299999999999997E-3</v>
      </c>
      <c r="R139" s="160">
        <v>0</v>
      </c>
      <c r="S139" s="160">
        <v>0</v>
      </c>
      <c r="T139" s="160">
        <v>0.17222999999999999</v>
      </c>
      <c r="U139" s="160">
        <v>0</v>
      </c>
      <c r="V139" s="160">
        <v>0.12906000000000001</v>
      </c>
      <c r="W139" s="160">
        <v>0.16111</v>
      </c>
      <c r="X139" s="160">
        <v>0.26484000000000002</v>
      </c>
      <c r="Y139" s="160">
        <v>0.17405999999999999</v>
      </c>
      <c r="Z139" s="160">
        <v>1.308E-2</v>
      </c>
      <c r="AA139" s="160">
        <v>1.308E-2</v>
      </c>
      <c r="AB139" s="160">
        <v>0.65908</v>
      </c>
      <c r="AC139" s="160">
        <v>0.77146999999999999</v>
      </c>
      <c r="AD139" s="160">
        <v>0.67361000000000004</v>
      </c>
      <c r="AE139" s="160">
        <v>0.61556</v>
      </c>
      <c r="AF139" s="160">
        <v>-0.47221999999999997</v>
      </c>
      <c r="AG139" s="160">
        <v>-1.245614</v>
      </c>
      <c r="AH139" s="160">
        <v>0.50830500000000001</v>
      </c>
      <c r="AI139" s="160">
        <v>0.57567999999999997</v>
      </c>
      <c r="AJ139" s="160">
        <v>5.5217000000000002E-2</v>
      </c>
      <c r="AK139" s="160">
        <v>0.214641</v>
      </c>
    </row>
    <row r="140" spans="1:37" x14ac:dyDescent="0.25">
      <c r="A140" s="205" t="s">
        <v>444</v>
      </c>
      <c r="B140" s="191">
        <v>5</v>
      </c>
      <c r="C140" s="161">
        <v>710.61</v>
      </c>
      <c r="D140" s="162">
        <v>17.93</v>
      </c>
      <c r="E140" s="162">
        <v>3.54</v>
      </c>
      <c r="F140" s="162">
        <v>0.98</v>
      </c>
      <c r="G140" s="208">
        <f t="shared" si="0"/>
        <v>16.949152542372882</v>
      </c>
      <c r="H140" s="162">
        <v>1.9101618731000001</v>
      </c>
      <c r="I140" s="162">
        <v>1.3988306823000001</v>
      </c>
      <c r="J140" s="162">
        <v>1.3655418752999999</v>
      </c>
      <c r="K140" s="162">
        <v>14.12</v>
      </c>
      <c r="L140" s="163">
        <v>0.39362000000000003</v>
      </c>
      <c r="M140" s="163">
        <v>0</v>
      </c>
      <c r="N140" s="163">
        <v>0.31635000000000002</v>
      </c>
      <c r="O140" s="163">
        <v>8.5680000000000006E-2</v>
      </c>
      <c r="P140" s="163">
        <v>8.4000000000000005E-2</v>
      </c>
      <c r="Q140" s="163">
        <v>1.6800000000000001E-3</v>
      </c>
      <c r="R140" s="163">
        <v>0</v>
      </c>
      <c r="S140" s="163">
        <v>0</v>
      </c>
      <c r="T140" s="163">
        <v>0.14391000000000001</v>
      </c>
      <c r="U140" s="163">
        <v>0</v>
      </c>
      <c r="V140" s="163">
        <v>0.18754000000000001</v>
      </c>
      <c r="W140" s="163">
        <v>0.19483</v>
      </c>
      <c r="X140" s="163">
        <v>0.28273999999999999</v>
      </c>
      <c r="Y140" s="163">
        <v>5.5500000000000001E-2</v>
      </c>
      <c r="Z140" s="163">
        <v>8.9599999999999992E-3</v>
      </c>
      <c r="AA140" s="163">
        <v>7.8399999999999997E-3</v>
      </c>
      <c r="AB140" s="163">
        <v>0.59033000000000002</v>
      </c>
      <c r="AC140" s="163">
        <v>0.73765000000000003</v>
      </c>
      <c r="AD140" s="163">
        <v>0.63690999999999998</v>
      </c>
      <c r="AE140" s="163">
        <v>0.56644000000000005</v>
      </c>
      <c r="AF140" s="163">
        <v>-0.51873000000000002</v>
      </c>
      <c r="AG140" s="163">
        <v>-1.77193</v>
      </c>
      <c r="AH140" s="163">
        <v>0.59108000000000005</v>
      </c>
      <c r="AI140" s="163">
        <v>0.63133899999999998</v>
      </c>
      <c r="AJ140" s="163">
        <v>4.0987000000000003E-2</v>
      </c>
      <c r="AK140" s="163">
        <v>0.32064500000000001</v>
      </c>
    </row>
    <row r="141" spans="1:37" x14ac:dyDescent="0.25">
      <c r="A141" s="205" t="s">
        <v>445</v>
      </c>
      <c r="B141" s="191">
        <v>5</v>
      </c>
      <c r="C141" s="161">
        <v>861.23</v>
      </c>
      <c r="D141" s="162">
        <v>35.75</v>
      </c>
      <c r="E141" s="162">
        <v>4.88</v>
      </c>
      <c r="F141" s="162">
        <v>0.65</v>
      </c>
      <c r="G141" s="208">
        <f t="shared" si="0"/>
        <v>12.295081967213115</v>
      </c>
      <c r="H141" s="162">
        <v>2.4303234572000001</v>
      </c>
      <c r="I141" s="162">
        <v>2.3664401064999998</v>
      </c>
      <c r="J141" s="162">
        <v>1.0269955494</v>
      </c>
      <c r="K141" s="162">
        <v>41.88</v>
      </c>
      <c r="L141" s="163">
        <v>0.45195999999999997</v>
      </c>
      <c r="M141" s="163">
        <v>0</v>
      </c>
      <c r="N141" s="163">
        <v>0.35315000000000002</v>
      </c>
      <c r="O141" s="163">
        <v>5.7849999999999999E-2</v>
      </c>
      <c r="P141" s="163">
        <v>5.7849999999999999E-2</v>
      </c>
      <c r="Q141" s="163">
        <v>0</v>
      </c>
      <c r="R141" s="163">
        <v>0</v>
      </c>
      <c r="S141" s="163">
        <v>0</v>
      </c>
      <c r="T141" s="163">
        <v>0.28795999999999999</v>
      </c>
      <c r="U141" s="163">
        <v>0</v>
      </c>
      <c r="V141" s="163">
        <v>0.30481999999999998</v>
      </c>
      <c r="W141" s="163">
        <v>0.11683</v>
      </c>
      <c r="X141" s="163">
        <v>0.18983</v>
      </c>
      <c r="Y141" s="163">
        <v>1.687E-2</v>
      </c>
      <c r="Z141" s="163">
        <v>1.6900000000000001E-3</v>
      </c>
      <c r="AA141" s="163">
        <v>2.81E-3</v>
      </c>
      <c r="AB141" s="163">
        <v>0.54932000000000003</v>
      </c>
      <c r="AC141" s="163">
        <v>0.69708000000000003</v>
      </c>
      <c r="AD141" s="163">
        <v>0.56528999999999996</v>
      </c>
      <c r="AE141" s="163">
        <v>0.51909000000000005</v>
      </c>
      <c r="AF141" s="163">
        <v>-0.57164000000000004</v>
      </c>
      <c r="AG141" s="163">
        <v>-1.6140350000000001</v>
      </c>
      <c r="AH141" s="163">
        <v>0.58158500000000002</v>
      </c>
      <c r="AI141" s="163">
        <v>0.56552500000000006</v>
      </c>
      <c r="AJ141" s="163">
        <v>4.1307000000000003E-2</v>
      </c>
      <c r="AK141" s="163">
        <v>0.24415500000000001</v>
      </c>
    </row>
    <row r="142" spans="1:37" x14ac:dyDescent="0.25">
      <c r="A142" s="205" t="s">
        <v>446</v>
      </c>
      <c r="B142" s="191">
        <v>5</v>
      </c>
      <c r="C142" s="161">
        <v>518.44000000000005</v>
      </c>
      <c r="D142" s="162">
        <v>13.28</v>
      </c>
      <c r="E142" s="162">
        <v>3.32</v>
      </c>
      <c r="F142" s="162">
        <v>0.38</v>
      </c>
      <c r="G142" s="208">
        <f t="shared" si="0"/>
        <v>18.072289156626507</v>
      </c>
      <c r="H142" s="162">
        <v>1.9350837049</v>
      </c>
      <c r="I142" s="162">
        <v>1.3364654922000001</v>
      </c>
      <c r="J142" s="162">
        <v>1.4479114621</v>
      </c>
      <c r="K142" s="162">
        <v>15.66</v>
      </c>
      <c r="L142" s="163">
        <v>0.39201999999999998</v>
      </c>
      <c r="M142" s="163">
        <v>0</v>
      </c>
      <c r="N142" s="163">
        <v>0.32184000000000001</v>
      </c>
      <c r="O142" s="163">
        <v>9.5189999999999997E-2</v>
      </c>
      <c r="P142" s="163">
        <v>9.5189999999999997E-2</v>
      </c>
      <c r="Q142" s="163">
        <v>0</v>
      </c>
      <c r="R142" s="163">
        <v>0</v>
      </c>
      <c r="S142" s="163">
        <v>0</v>
      </c>
      <c r="T142" s="163">
        <v>0.14151</v>
      </c>
      <c r="U142" s="163">
        <v>0</v>
      </c>
      <c r="V142" s="163">
        <v>0.13539999999999999</v>
      </c>
      <c r="W142" s="163">
        <v>0.14698</v>
      </c>
      <c r="X142" s="163">
        <v>0.23438000000000001</v>
      </c>
      <c r="Y142" s="163">
        <v>0.23985000000000001</v>
      </c>
      <c r="Z142" s="163">
        <v>3.3400000000000001E-3</v>
      </c>
      <c r="AA142" s="163">
        <v>2.7799999999999999E-3</v>
      </c>
      <c r="AB142" s="163">
        <v>0.60740000000000005</v>
      </c>
      <c r="AC142" s="163">
        <v>0.72165999999999997</v>
      </c>
      <c r="AD142" s="163">
        <v>0.65359999999999996</v>
      </c>
      <c r="AE142" s="163">
        <v>0.60175999999999996</v>
      </c>
      <c r="AF142" s="163">
        <v>-0.46958</v>
      </c>
      <c r="AG142" s="163">
        <v>-1.719298</v>
      </c>
      <c r="AH142" s="163">
        <v>0.58131299999999997</v>
      </c>
      <c r="AI142" s="163">
        <v>0.64407800000000004</v>
      </c>
      <c r="AJ142" s="163">
        <v>4.0452000000000002E-2</v>
      </c>
      <c r="AK142" s="163">
        <v>0.28409499999999999</v>
      </c>
    </row>
    <row r="143" spans="1:37" x14ac:dyDescent="0.25">
      <c r="A143" s="205" t="s">
        <v>447</v>
      </c>
      <c r="B143" s="191">
        <v>5</v>
      </c>
      <c r="C143" s="161">
        <v>585.05999999999995</v>
      </c>
      <c r="D143" s="162">
        <v>6.12</v>
      </c>
      <c r="E143" s="162">
        <v>4.96</v>
      </c>
      <c r="F143" s="162">
        <v>0.69</v>
      </c>
      <c r="G143" s="208">
        <f t="shared" si="0"/>
        <v>12.096774193548388</v>
      </c>
      <c r="H143" s="162">
        <v>2.8895247584999999</v>
      </c>
      <c r="I143" s="162">
        <v>2.0008928591999999</v>
      </c>
      <c r="J143" s="162">
        <v>1.4441176823999999</v>
      </c>
      <c r="K143" s="162">
        <v>7.63</v>
      </c>
      <c r="L143" s="163">
        <v>0.42348999999999998</v>
      </c>
      <c r="M143" s="163">
        <v>0</v>
      </c>
      <c r="N143" s="163">
        <v>0.31778000000000001</v>
      </c>
      <c r="O143" s="163">
        <v>6.6379999999999995E-2</v>
      </c>
      <c r="P143" s="163">
        <v>6.6379999999999995E-2</v>
      </c>
      <c r="Q143" s="163">
        <v>0</v>
      </c>
      <c r="R143" s="163">
        <v>0</v>
      </c>
      <c r="S143" s="163">
        <v>0</v>
      </c>
      <c r="T143" s="163">
        <v>9.3390000000000001E-2</v>
      </c>
      <c r="U143" s="163">
        <v>2.81E-3</v>
      </c>
      <c r="V143" s="163">
        <v>7.1459999999999996E-2</v>
      </c>
      <c r="W143" s="163">
        <v>0.16872000000000001</v>
      </c>
      <c r="X143" s="163">
        <v>0.32446999999999998</v>
      </c>
      <c r="Y143" s="163">
        <v>0.18676000000000001</v>
      </c>
      <c r="Z143" s="163">
        <v>1.068E-2</v>
      </c>
      <c r="AA143" s="163">
        <v>1.5740000000000001E-2</v>
      </c>
      <c r="AB143" s="163">
        <v>0.58333999999999997</v>
      </c>
      <c r="AC143" s="163">
        <v>0.74443999999999999</v>
      </c>
      <c r="AD143" s="163">
        <v>0.62105999999999995</v>
      </c>
      <c r="AE143" s="163">
        <v>0.54405999999999999</v>
      </c>
      <c r="AF143" s="163">
        <v>-0.47802</v>
      </c>
      <c r="AG143" s="163">
        <v>-1.964912</v>
      </c>
      <c r="AH143" s="163">
        <v>0.44789600000000002</v>
      </c>
      <c r="AI143" s="163">
        <v>0.733344</v>
      </c>
      <c r="AJ143" s="163">
        <v>1.9751999999999999E-2</v>
      </c>
      <c r="AK143" s="163">
        <v>0.46848400000000001</v>
      </c>
    </row>
    <row r="144" spans="1:37" x14ac:dyDescent="0.25">
      <c r="A144" s="205" t="s">
        <v>448</v>
      </c>
      <c r="B144" s="191">
        <v>5</v>
      </c>
      <c r="C144" s="161">
        <v>778.06</v>
      </c>
      <c r="D144" s="162">
        <v>56.18</v>
      </c>
      <c r="E144" s="162">
        <v>2.93</v>
      </c>
      <c r="F144" s="162">
        <v>0.32</v>
      </c>
      <c r="G144" s="208">
        <f t="shared" si="0"/>
        <v>20.477815699658702</v>
      </c>
      <c r="H144" s="162">
        <v>1.5472696581000001</v>
      </c>
      <c r="I144" s="162">
        <v>1.3609304244</v>
      </c>
      <c r="J144" s="162">
        <v>1.1369204703</v>
      </c>
      <c r="K144" s="162">
        <v>56.18</v>
      </c>
      <c r="L144" s="163">
        <v>0.42</v>
      </c>
      <c r="M144" s="163">
        <v>1.67E-3</v>
      </c>
      <c r="N144" s="163">
        <v>0.26669999999999999</v>
      </c>
      <c r="O144" s="163">
        <v>9.9979999999999999E-2</v>
      </c>
      <c r="P144" s="163">
        <v>0.10165</v>
      </c>
      <c r="Q144" s="163">
        <v>0</v>
      </c>
      <c r="R144" s="163">
        <v>0</v>
      </c>
      <c r="S144" s="163">
        <v>0</v>
      </c>
      <c r="T144" s="163">
        <v>0.14552999999999999</v>
      </c>
      <c r="U144" s="163">
        <v>0</v>
      </c>
      <c r="V144" s="163">
        <v>0.18770999999999999</v>
      </c>
      <c r="W144" s="163">
        <v>0.21052999999999999</v>
      </c>
      <c r="X144" s="163">
        <v>0.31723000000000001</v>
      </c>
      <c r="Y144" s="163">
        <v>2.5090000000000001E-2</v>
      </c>
      <c r="Z144" s="163">
        <v>2.2300000000000002E-3</v>
      </c>
      <c r="AA144" s="163">
        <v>1.67E-3</v>
      </c>
      <c r="AB144" s="163">
        <v>0.55364000000000002</v>
      </c>
      <c r="AC144" s="163">
        <v>0.70604999999999996</v>
      </c>
      <c r="AD144" s="163">
        <v>0.59424999999999994</v>
      </c>
      <c r="AE144" s="163">
        <v>0.52749999999999997</v>
      </c>
      <c r="AF144" s="163">
        <v>-0.27667999999999998</v>
      </c>
      <c r="AG144" s="163">
        <v>-1.701754</v>
      </c>
      <c r="AH144" s="163">
        <v>0.64260499999999998</v>
      </c>
      <c r="AI144" s="163">
        <v>0.752691</v>
      </c>
      <c r="AJ144" s="163">
        <v>4.5669000000000001E-2</v>
      </c>
      <c r="AK144" s="163">
        <v>0.44589499999999999</v>
      </c>
    </row>
    <row r="145" spans="1:37" x14ac:dyDescent="0.25">
      <c r="A145" s="205" t="s">
        <v>449</v>
      </c>
      <c r="B145" s="191">
        <v>5</v>
      </c>
      <c r="C145" s="161">
        <v>665.27</v>
      </c>
      <c r="D145" s="162">
        <v>19.04</v>
      </c>
      <c r="E145" s="162">
        <v>4.2</v>
      </c>
      <c r="F145" s="162">
        <v>0.63</v>
      </c>
      <c r="G145" s="208">
        <f t="shared" si="0"/>
        <v>14.285714285714285</v>
      </c>
      <c r="H145" s="162">
        <v>2.4841005465000001</v>
      </c>
      <c r="I145" s="162">
        <v>1.6218447793999999</v>
      </c>
      <c r="J145" s="162">
        <v>1.531651227</v>
      </c>
      <c r="K145" s="162">
        <v>16.63</v>
      </c>
      <c r="L145" s="163">
        <v>0.44462000000000002</v>
      </c>
      <c r="M145" s="163">
        <v>0</v>
      </c>
      <c r="N145" s="163">
        <v>0.33384999999999998</v>
      </c>
      <c r="O145" s="163">
        <v>6.4019999999999994E-2</v>
      </c>
      <c r="P145" s="163">
        <v>6.3460000000000003E-2</v>
      </c>
      <c r="Q145" s="163">
        <v>0</v>
      </c>
      <c r="R145" s="163">
        <v>0</v>
      </c>
      <c r="S145" s="163">
        <v>0</v>
      </c>
      <c r="T145" s="163">
        <v>0.22144</v>
      </c>
      <c r="U145" s="163">
        <v>0</v>
      </c>
      <c r="V145" s="163">
        <v>0.21590000000000001</v>
      </c>
      <c r="W145" s="163">
        <v>0.14695</v>
      </c>
      <c r="X145" s="163">
        <v>0.25768000000000002</v>
      </c>
      <c r="Y145" s="163">
        <v>5.1740000000000001E-2</v>
      </c>
      <c r="Z145" s="163">
        <v>4.45E-3</v>
      </c>
      <c r="AA145" s="163">
        <v>7.79E-3</v>
      </c>
      <c r="AB145" s="163">
        <v>0.57438999999999996</v>
      </c>
      <c r="AC145" s="163">
        <v>0.70584000000000002</v>
      </c>
      <c r="AD145" s="163">
        <v>0.60702</v>
      </c>
      <c r="AE145" s="163">
        <v>0.55845</v>
      </c>
      <c r="AF145" s="163">
        <v>-0.30626999999999999</v>
      </c>
      <c r="AG145" s="163">
        <v>-1.6842109999999999</v>
      </c>
      <c r="AH145" s="163">
        <v>0.61036400000000002</v>
      </c>
      <c r="AI145" s="163">
        <v>0.58382500000000004</v>
      </c>
      <c r="AJ145" s="163">
        <v>3.4237999999999998E-2</v>
      </c>
      <c r="AK145" s="163">
        <v>0.26319599999999999</v>
      </c>
    </row>
    <row r="146" spans="1:37" x14ac:dyDescent="0.25">
      <c r="A146" s="205" t="s">
        <v>450</v>
      </c>
      <c r="B146" s="191">
        <v>5</v>
      </c>
      <c r="C146" s="161">
        <v>605.41</v>
      </c>
      <c r="D146" s="162">
        <v>11.15</v>
      </c>
      <c r="E146" s="162">
        <v>2.73</v>
      </c>
      <c r="F146" s="162">
        <v>0.3</v>
      </c>
      <c r="G146" s="208">
        <f t="shared" si="0"/>
        <v>21.978021978021978</v>
      </c>
      <c r="H146" s="162">
        <v>1.261703397</v>
      </c>
      <c r="I146" s="162">
        <v>1.4406199454999999</v>
      </c>
      <c r="J146" s="162">
        <v>0.87580586459999998</v>
      </c>
      <c r="K146" s="162">
        <v>7.73</v>
      </c>
      <c r="L146" s="163">
        <v>0.3765</v>
      </c>
      <c r="M146" s="163">
        <v>2.7699999999999999E-3</v>
      </c>
      <c r="N146" s="163">
        <v>0.23658999999999999</v>
      </c>
      <c r="O146" s="163">
        <v>0.13655</v>
      </c>
      <c r="P146" s="163">
        <v>0.13489000000000001</v>
      </c>
      <c r="Q146" s="163">
        <v>4.4400000000000004E-3</v>
      </c>
      <c r="R146" s="163">
        <v>0</v>
      </c>
      <c r="S146" s="163">
        <v>0</v>
      </c>
      <c r="T146" s="163">
        <v>0.11666</v>
      </c>
      <c r="U146" s="163">
        <v>0</v>
      </c>
      <c r="V146" s="163">
        <v>9.2240000000000003E-2</v>
      </c>
      <c r="W146" s="163">
        <v>0.19708000000000001</v>
      </c>
      <c r="X146" s="163">
        <v>0.32090000000000002</v>
      </c>
      <c r="Y146" s="163">
        <v>0.14931</v>
      </c>
      <c r="Z146" s="163">
        <v>8.8800000000000007E-3</v>
      </c>
      <c r="AA146" s="163">
        <v>6.6600000000000001E-3</v>
      </c>
      <c r="AB146" s="163">
        <v>0.63431000000000004</v>
      </c>
      <c r="AC146" s="163">
        <v>0.77437</v>
      </c>
      <c r="AD146" s="163">
        <v>0.68071000000000004</v>
      </c>
      <c r="AE146" s="163">
        <v>0.60692999999999997</v>
      </c>
      <c r="AF146" s="163">
        <v>-0.19574</v>
      </c>
      <c r="AG146" s="163">
        <v>-0.859649</v>
      </c>
      <c r="AH146" s="163">
        <v>0.53080799999999995</v>
      </c>
      <c r="AI146" s="163">
        <v>0.61812699999999998</v>
      </c>
      <c r="AJ146" s="163">
        <v>6.7794999999999994E-2</v>
      </c>
      <c r="AK146" s="163">
        <v>0.17374500000000001</v>
      </c>
    </row>
    <row r="147" spans="1:37" x14ac:dyDescent="0.25">
      <c r="A147" s="205" t="s">
        <v>451</v>
      </c>
      <c r="B147" s="191">
        <v>5</v>
      </c>
      <c r="C147" s="161">
        <v>904.29</v>
      </c>
      <c r="D147" s="162">
        <v>54.89</v>
      </c>
      <c r="E147" s="162">
        <v>3.45</v>
      </c>
      <c r="F147" s="162">
        <v>0.32</v>
      </c>
      <c r="G147" s="208">
        <f t="shared" si="0"/>
        <v>17.391304347826086</v>
      </c>
      <c r="H147" s="162">
        <v>2.0168930826999998</v>
      </c>
      <c r="I147" s="162">
        <v>1.3920427609999999</v>
      </c>
      <c r="J147" s="162">
        <v>1.4488729363999999</v>
      </c>
      <c r="K147" s="162">
        <v>61.01</v>
      </c>
      <c r="L147" s="163">
        <v>0.41904999999999998</v>
      </c>
      <c r="M147" s="163">
        <v>2.2200000000000002E-3</v>
      </c>
      <c r="N147" s="163">
        <v>0.28766999999999998</v>
      </c>
      <c r="O147" s="163">
        <v>9.2039999999999997E-2</v>
      </c>
      <c r="P147" s="163">
        <v>9.2039999999999997E-2</v>
      </c>
      <c r="Q147" s="163">
        <v>0</v>
      </c>
      <c r="R147" s="163">
        <v>0</v>
      </c>
      <c r="S147" s="163">
        <v>0</v>
      </c>
      <c r="T147" s="163">
        <v>0.16184000000000001</v>
      </c>
      <c r="U147" s="163">
        <v>0</v>
      </c>
      <c r="V147" s="163">
        <v>0.27594999999999997</v>
      </c>
      <c r="W147" s="163">
        <v>0.17019000000000001</v>
      </c>
      <c r="X147" s="163">
        <v>0.26888000000000001</v>
      </c>
      <c r="Y147" s="163">
        <v>1.4489999999999999E-2</v>
      </c>
      <c r="Z147" s="163">
        <v>5.5999999999999995E-4</v>
      </c>
      <c r="AA147" s="163">
        <v>1.1100000000000001E-3</v>
      </c>
      <c r="AB147" s="163">
        <v>0.55481999999999998</v>
      </c>
      <c r="AC147" s="163">
        <v>0.70194000000000001</v>
      </c>
      <c r="AD147" s="163">
        <v>0.60890999999999995</v>
      </c>
      <c r="AE147" s="163">
        <v>0.56140000000000001</v>
      </c>
      <c r="AF147" s="163">
        <v>-0.29050999999999999</v>
      </c>
      <c r="AG147" s="163">
        <v>-1.6842109999999999</v>
      </c>
      <c r="AH147" s="163">
        <v>0.75884799999999997</v>
      </c>
      <c r="AI147" s="163">
        <v>0.69342700000000002</v>
      </c>
      <c r="AJ147" s="163">
        <v>5.7561000000000001E-2</v>
      </c>
      <c r="AK147" s="163">
        <v>0.33501199999999998</v>
      </c>
    </row>
    <row r="148" spans="1:37" x14ac:dyDescent="0.25">
      <c r="A148" s="205" t="s">
        <v>452</v>
      </c>
      <c r="B148" s="191">
        <v>5</v>
      </c>
      <c r="C148" s="161">
        <v>728.56</v>
      </c>
      <c r="D148" s="162">
        <v>18.2</v>
      </c>
      <c r="E148" s="162">
        <v>3.09</v>
      </c>
      <c r="F148" s="162">
        <v>0.72</v>
      </c>
      <c r="G148" s="208">
        <f t="shared" si="0"/>
        <v>19.417475728155342</v>
      </c>
      <c r="H148" s="162">
        <v>1.5146884623000001</v>
      </c>
      <c r="I148" s="162">
        <v>1.2684260979999999</v>
      </c>
      <c r="J148" s="162">
        <v>1.1941479797000001</v>
      </c>
      <c r="K148" s="162">
        <v>7.21</v>
      </c>
      <c r="L148" s="163">
        <v>0.3009</v>
      </c>
      <c r="M148" s="163">
        <v>0</v>
      </c>
      <c r="N148" s="163">
        <v>0.34760000000000002</v>
      </c>
      <c r="O148" s="163">
        <v>0.13311999999999999</v>
      </c>
      <c r="P148" s="163">
        <v>0.10417</v>
      </c>
      <c r="Q148" s="163">
        <v>2.1160000000000002E-2</v>
      </c>
      <c r="R148" s="163">
        <v>0</v>
      </c>
      <c r="S148" s="163">
        <v>0</v>
      </c>
      <c r="T148" s="163">
        <v>0.20832999999999999</v>
      </c>
      <c r="U148" s="163">
        <v>2.7799999999999999E-3</v>
      </c>
      <c r="V148" s="163">
        <v>0.1928</v>
      </c>
      <c r="W148" s="163">
        <v>0.16491</v>
      </c>
      <c r="X148" s="163">
        <v>0.24457999999999999</v>
      </c>
      <c r="Y148" s="163">
        <v>7.4620000000000006E-2</v>
      </c>
      <c r="Z148" s="163">
        <v>1.1690000000000001E-2</v>
      </c>
      <c r="AA148" s="163">
        <v>7.2399999999999999E-3</v>
      </c>
      <c r="AB148" s="163">
        <v>0.66395000000000004</v>
      </c>
      <c r="AC148" s="163">
        <v>0.80140999999999996</v>
      </c>
      <c r="AD148" s="163">
        <v>0.69733999999999996</v>
      </c>
      <c r="AE148" s="163">
        <v>0.63341999999999998</v>
      </c>
      <c r="AF148" s="163">
        <v>-0.44979000000000002</v>
      </c>
      <c r="AG148" s="163">
        <v>1.1052630000000001</v>
      </c>
      <c r="AH148" s="163">
        <v>0.57175799999999999</v>
      </c>
      <c r="AI148" s="163">
        <v>0.60219199999999995</v>
      </c>
      <c r="AJ148" s="163">
        <v>0.19076100000000001</v>
      </c>
      <c r="AK148" s="163">
        <v>6.0516E-2</v>
      </c>
    </row>
    <row r="149" spans="1:37" x14ac:dyDescent="0.25">
      <c r="A149" s="205" t="s">
        <v>453</v>
      </c>
      <c r="B149" s="191">
        <v>5</v>
      </c>
      <c r="C149" s="161">
        <v>847.19</v>
      </c>
      <c r="D149" s="162">
        <v>42.38</v>
      </c>
      <c r="E149" s="162">
        <v>4.57</v>
      </c>
      <c r="F149" s="162">
        <v>1.51</v>
      </c>
      <c r="G149" s="208">
        <f t="shared" si="0"/>
        <v>13.129102844638949</v>
      </c>
      <c r="H149" s="162">
        <v>2.5836299679999999</v>
      </c>
      <c r="I149" s="162">
        <v>1.675879366</v>
      </c>
      <c r="J149" s="162">
        <v>1.5416562913</v>
      </c>
      <c r="K149" s="162">
        <v>29.72</v>
      </c>
      <c r="L149" s="163">
        <v>0.45471</v>
      </c>
      <c r="M149" s="163">
        <v>2.7699999999999999E-3</v>
      </c>
      <c r="N149" s="163">
        <v>0.33722000000000002</v>
      </c>
      <c r="O149" s="163">
        <v>5.883E-2</v>
      </c>
      <c r="P149" s="163">
        <v>5.9920000000000001E-2</v>
      </c>
      <c r="Q149" s="163">
        <v>1.0000000000000001E-5</v>
      </c>
      <c r="R149" s="163">
        <v>0</v>
      </c>
      <c r="S149" s="163">
        <v>0</v>
      </c>
      <c r="T149" s="163">
        <v>0.25122</v>
      </c>
      <c r="U149" s="163">
        <v>1.1100000000000001E-3</v>
      </c>
      <c r="V149" s="163">
        <v>0.26840000000000003</v>
      </c>
      <c r="W149" s="163">
        <v>0.13535</v>
      </c>
      <c r="X149" s="163">
        <v>0.22575000000000001</v>
      </c>
      <c r="Y149" s="163">
        <v>2.554E-2</v>
      </c>
      <c r="Z149" s="163">
        <v>2.2200000000000002E-3</v>
      </c>
      <c r="AA149" s="163">
        <v>3.8800000000000002E-3</v>
      </c>
      <c r="AB149" s="163">
        <v>0.56408999999999998</v>
      </c>
      <c r="AC149" s="163">
        <v>0.73324999999999996</v>
      </c>
      <c r="AD149" s="163">
        <v>0.58974000000000004</v>
      </c>
      <c r="AE149" s="163">
        <v>0.55203000000000002</v>
      </c>
      <c r="AF149" s="163">
        <v>-0.39295999999999998</v>
      </c>
      <c r="AG149" s="163">
        <v>-1.947368</v>
      </c>
      <c r="AH149" s="163">
        <v>0.535416</v>
      </c>
      <c r="AI149" s="163">
        <v>0.60308300000000004</v>
      </c>
      <c r="AJ149" s="163">
        <v>2.8986000000000001E-2</v>
      </c>
      <c r="AK149" s="163">
        <v>0.31230000000000002</v>
      </c>
    </row>
    <row r="150" spans="1:37" x14ac:dyDescent="0.25">
      <c r="A150" s="205" t="s">
        <v>454</v>
      </c>
      <c r="B150" s="191">
        <v>5</v>
      </c>
      <c r="C150" s="161">
        <v>700.03</v>
      </c>
      <c r="D150" s="162">
        <v>36.71</v>
      </c>
      <c r="E150" s="162">
        <v>3.18</v>
      </c>
      <c r="F150" s="162">
        <v>0.67</v>
      </c>
      <c r="G150" s="208">
        <f t="shared" si="0"/>
        <v>18.867924528301884</v>
      </c>
      <c r="H150" s="162">
        <v>1.6321275339000001</v>
      </c>
      <c r="I150" s="162">
        <v>1.4535674726000001</v>
      </c>
      <c r="J150" s="162">
        <v>1.122842637</v>
      </c>
      <c r="K150" s="162">
        <v>23.85</v>
      </c>
      <c r="L150" s="163">
        <v>0.37408000000000002</v>
      </c>
      <c r="M150" s="163">
        <v>0</v>
      </c>
      <c r="N150" s="163">
        <v>0.33662999999999998</v>
      </c>
      <c r="O150" s="163">
        <v>9.5140000000000002E-2</v>
      </c>
      <c r="P150" s="163">
        <v>9.5140000000000002E-2</v>
      </c>
      <c r="Q150" s="163">
        <v>0</v>
      </c>
      <c r="R150" s="163">
        <v>0</v>
      </c>
      <c r="S150" s="163">
        <v>0</v>
      </c>
      <c r="T150" s="163">
        <v>0.22938</v>
      </c>
      <c r="U150" s="163">
        <v>0</v>
      </c>
      <c r="V150" s="163">
        <v>0.14968000000000001</v>
      </c>
      <c r="W150" s="163">
        <v>0.16994999999999999</v>
      </c>
      <c r="X150" s="163">
        <v>0.2717</v>
      </c>
      <c r="Y150" s="163">
        <v>7.3679999999999995E-2</v>
      </c>
      <c r="Z150" s="163">
        <v>3.3E-3</v>
      </c>
      <c r="AA150" s="163">
        <v>3.3E-3</v>
      </c>
      <c r="AB150" s="163">
        <v>0.59548000000000001</v>
      </c>
      <c r="AC150" s="163">
        <v>0.72552000000000005</v>
      </c>
      <c r="AD150" s="163">
        <v>0.63332999999999995</v>
      </c>
      <c r="AE150" s="163">
        <v>0.57399999999999995</v>
      </c>
      <c r="AF150" s="163">
        <v>-0.33890999999999999</v>
      </c>
      <c r="AG150" s="163">
        <v>-1.473684</v>
      </c>
      <c r="AH150" s="163">
        <v>0.62884799999999996</v>
      </c>
      <c r="AI150" s="163">
        <v>0.60858199999999996</v>
      </c>
      <c r="AJ150" s="163">
        <v>5.7093999999999999E-2</v>
      </c>
      <c r="AK150" s="163">
        <v>0.30091699999999999</v>
      </c>
    </row>
    <row r="151" spans="1:37" x14ac:dyDescent="0.25">
      <c r="A151" s="205" t="s">
        <v>455</v>
      </c>
      <c r="B151" s="191">
        <v>5</v>
      </c>
      <c r="C151" s="161">
        <v>717.92</v>
      </c>
      <c r="D151" s="162">
        <v>83.6</v>
      </c>
      <c r="E151" s="162">
        <v>3.76</v>
      </c>
      <c r="F151" s="162">
        <v>1.05</v>
      </c>
      <c r="G151" s="208">
        <f t="shared" si="0"/>
        <v>15.957446808510639</v>
      </c>
      <c r="H151" s="162">
        <v>1.9779748611000001</v>
      </c>
      <c r="I151" s="162">
        <v>1.5571960323</v>
      </c>
      <c r="J151" s="162">
        <v>1.2702157083000001</v>
      </c>
      <c r="K151" s="162">
        <v>35.28</v>
      </c>
      <c r="L151" s="163">
        <v>0.22298999999999999</v>
      </c>
      <c r="M151" s="163">
        <v>0.34571000000000002</v>
      </c>
      <c r="N151" s="163">
        <v>0.27409</v>
      </c>
      <c r="O151" s="163">
        <v>8.7090000000000001E-2</v>
      </c>
      <c r="P151" s="163">
        <v>8.7090000000000001E-2</v>
      </c>
      <c r="Q151" s="163">
        <v>1.2199999999999999E-3</v>
      </c>
      <c r="R151" s="163">
        <v>0</v>
      </c>
      <c r="S151" s="163">
        <v>0</v>
      </c>
      <c r="T151" s="163">
        <v>0.24725</v>
      </c>
      <c r="U151" s="163">
        <v>0</v>
      </c>
      <c r="V151" s="163">
        <v>0.22711000000000001</v>
      </c>
      <c r="W151" s="163">
        <v>0.25817000000000001</v>
      </c>
      <c r="X151" s="163">
        <v>0.23205999999999999</v>
      </c>
      <c r="Y151" s="163">
        <v>4.691E-2</v>
      </c>
      <c r="Z151" s="163">
        <v>3.65E-3</v>
      </c>
      <c r="AA151" s="163">
        <v>3.0500000000000002E-3</v>
      </c>
      <c r="AB151" s="163">
        <v>0.72624</v>
      </c>
      <c r="AC151" s="163">
        <v>0.79300000000000004</v>
      </c>
      <c r="AD151" s="163">
        <v>0.67152999999999996</v>
      </c>
      <c r="AE151" s="163">
        <v>0.64205999999999996</v>
      </c>
      <c r="AF151" s="163">
        <v>-0.35711999999999999</v>
      </c>
      <c r="AG151" s="163">
        <v>-1.017544</v>
      </c>
      <c r="AH151" s="163">
        <v>0.46624199999999999</v>
      </c>
      <c r="AI151" s="163">
        <v>0.58699599999999996</v>
      </c>
      <c r="AJ151" s="163">
        <v>6.6294000000000006E-2</v>
      </c>
      <c r="AK151" s="163">
        <v>0.22169700000000001</v>
      </c>
    </row>
    <row r="152" spans="1:37" x14ac:dyDescent="0.25">
      <c r="A152" s="205" t="s">
        <v>456</v>
      </c>
      <c r="B152" s="191">
        <v>5</v>
      </c>
      <c r="C152" s="161">
        <v>605.04</v>
      </c>
      <c r="D152" s="162">
        <v>3.6</v>
      </c>
      <c r="E152" s="162">
        <v>3.18</v>
      </c>
      <c r="F152" s="162">
        <v>0.42</v>
      </c>
      <c r="G152" s="208">
        <f t="shared" si="0"/>
        <v>18.867924528301884</v>
      </c>
      <c r="H152" s="162">
        <v>1.7437523433</v>
      </c>
      <c r="I152" s="162">
        <v>1.3870490868000001</v>
      </c>
      <c r="J152" s="162">
        <v>1.2571670028999999</v>
      </c>
      <c r="K152" s="162">
        <v>6.11</v>
      </c>
      <c r="L152" s="163">
        <v>0.37039</v>
      </c>
      <c r="M152" s="163">
        <v>1.8600000000000001E-3</v>
      </c>
      <c r="N152" s="163">
        <v>0.29525000000000001</v>
      </c>
      <c r="O152" s="163">
        <v>0.10360999999999999</v>
      </c>
      <c r="P152" s="163">
        <v>0.10360999999999999</v>
      </c>
      <c r="Q152" s="163">
        <v>3.3400000000000001E-3</v>
      </c>
      <c r="R152" s="163">
        <v>0</v>
      </c>
      <c r="S152" s="163">
        <v>0</v>
      </c>
      <c r="T152" s="163">
        <v>0.11428000000000001</v>
      </c>
      <c r="U152" s="163">
        <v>0</v>
      </c>
      <c r="V152" s="163">
        <v>0.1087</v>
      </c>
      <c r="W152" s="163">
        <v>0.20504</v>
      </c>
      <c r="X152" s="163">
        <v>0.30914999999999998</v>
      </c>
      <c r="Y152" s="163">
        <v>0.10637000000000001</v>
      </c>
      <c r="Z152" s="163">
        <v>1.504E-2</v>
      </c>
      <c r="AA152" s="163">
        <v>1.949E-2</v>
      </c>
      <c r="AB152" s="163">
        <v>0.62522999999999995</v>
      </c>
      <c r="AC152" s="163">
        <v>0.78088999999999997</v>
      </c>
      <c r="AD152" s="163">
        <v>0.67212000000000005</v>
      </c>
      <c r="AE152" s="163">
        <v>0.58614999999999995</v>
      </c>
      <c r="AF152" s="163">
        <v>-0.22192999999999999</v>
      </c>
      <c r="AG152" s="163">
        <v>-1.561404</v>
      </c>
      <c r="AH152" s="163">
        <v>0.70806500000000006</v>
      </c>
      <c r="AI152" s="163">
        <v>0.65841300000000003</v>
      </c>
      <c r="AJ152" s="163">
        <v>2.4348999999999999E-2</v>
      </c>
      <c r="AK152" s="163">
        <v>0.40591100000000002</v>
      </c>
    </row>
    <row r="153" spans="1:37" x14ac:dyDescent="0.25">
      <c r="A153" s="205" t="s">
        <v>457</v>
      </c>
      <c r="B153" s="191">
        <v>5</v>
      </c>
      <c r="C153" s="161">
        <v>727.09</v>
      </c>
      <c r="D153" s="162">
        <v>9.57</v>
      </c>
      <c r="E153" s="162">
        <v>5.36</v>
      </c>
      <c r="F153" s="162">
        <v>1.23</v>
      </c>
      <c r="G153" s="208">
        <f t="shared" si="0"/>
        <v>11.194029850746269</v>
      </c>
      <c r="H153" s="162">
        <v>3.2538871337000002</v>
      </c>
      <c r="I153" s="162">
        <v>1.7543263275000001</v>
      </c>
      <c r="J153" s="162">
        <v>1.8547787163</v>
      </c>
      <c r="K153" s="162">
        <v>43.35</v>
      </c>
      <c r="L153" s="163">
        <v>0.42382999999999998</v>
      </c>
      <c r="M153" s="163">
        <v>0</v>
      </c>
      <c r="N153" s="163">
        <v>0.32192999999999999</v>
      </c>
      <c r="O153" s="163">
        <v>6.4299999999999996E-2</v>
      </c>
      <c r="P153" s="163">
        <v>6.4299999999999996E-2</v>
      </c>
      <c r="Q153" s="163">
        <v>1.16E-3</v>
      </c>
      <c r="R153" s="163">
        <v>0</v>
      </c>
      <c r="S153" s="163">
        <v>0</v>
      </c>
      <c r="T153" s="163">
        <v>0.13433</v>
      </c>
      <c r="U153" s="163">
        <v>4.6299999999999996E-3</v>
      </c>
      <c r="V153" s="163">
        <v>0.10249</v>
      </c>
      <c r="W153" s="163">
        <v>0.18704000000000001</v>
      </c>
      <c r="X153" s="163">
        <v>0.34045999999999998</v>
      </c>
      <c r="Y153" s="163">
        <v>8.6290000000000006E-2</v>
      </c>
      <c r="Z153" s="163">
        <v>8.1099999999999992E-3</v>
      </c>
      <c r="AA153" s="163">
        <v>1.2160000000000001E-2</v>
      </c>
      <c r="AB153" s="163">
        <v>0.57804999999999995</v>
      </c>
      <c r="AC153" s="163">
        <v>0.75241999999999998</v>
      </c>
      <c r="AD153" s="163">
        <v>0.60757000000000005</v>
      </c>
      <c r="AE153" s="163">
        <v>0.52417999999999998</v>
      </c>
      <c r="AF153" s="163">
        <v>-0.51349999999999996</v>
      </c>
      <c r="AG153" s="163">
        <v>-1.701754</v>
      </c>
      <c r="AH153" s="163">
        <v>0.63169399999999998</v>
      </c>
      <c r="AI153" s="163">
        <v>0.60857300000000003</v>
      </c>
      <c r="AJ153" s="163">
        <v>3.5783000000000002E-2</v>
      </c>
      <c r="AK153" s="163">
        <v>0.245668</v>
      </c>
    </row>
    <row r="154" spans="1:37" x14ac:dyDescent="0.25">
      <c r="A154" s="205" t="s">
        <v>458</v>
      </c>
      <c r="B154" s="191">
        <v>5</v>
      </c>
      <c r="C154" s="161">
        <v>758.6</v>
      </c>
      <c r="D154" s="162">
        <v>58.37</v>
      </c>
      <c r="E154" s="162">
        <v>5.78</v>
      </c>
      <c r="F154" s="162">
        <v>3.08</v>
      </c>
      <c r="G154" s="208">
        <f t="shared" si="0"/>
        <v>10.380622837370241</v>
      </c>
      <c r="H154" s="162">
        <v>3.0610096282999999</v>
      </c>
      <c r="I154" s="162">
        <v>1.8583053620000001</v>
      </c>
      <c r="J154" s="162">
        <v>1.6472048625</v>
      </c>
      <c r="K154" s="162">
        <v>73.599999999999994</v>
      </c>
      <c r="L154" s="163">
        <v>0.40899999999999997</v>
      </c>
      <c r="M154" s="163">
        <v>0</v>
      </c>
      <c r="N154" s="163">
        <v>0.36120999999999998</v>
      </c>
      <c r="O154" s="163">
        <v>6.4610000000000001E-2</v>
      </c>
      <c r="P154" s="163">
        <v>6.4049999999999996E-2</v>
      </c>
      <c r="Q154" s="163">
        <v>0</v>
      </c>
      <c r="R154" s="163">
        <v>0</v>
      </c>
      <c r="S154" s="163">
        <v>0</v>
      </c>
      <c r="T154" s="163">
        <v>0.26173000000000002</v>
      </c>
      <c r="U154" s="163">
        <v>0</v>
      </c>
      <c r="V154" s="163">
        <v>0.22464999999999999</v>
      </c>
      <c r="W154" s="163">
        <v>0.12195</v>
      </c>
      <c r="X154" s="163">
        <v>0.22309999999999999</v>
      </c>
      <c r="Y154" s="163">
        <v>6.5740000000000007E-2</v>
      </c>
      <c r="Z154" s="163">
        <v>5.6999999999999998E-4</v>
      </c>
      <c r="AA154" s="163">
        <v>1.1299999999999999E-3</v>
      </c>
      <c r="AB154" s="163">
        <v>0.57315000000000005</v>
      </c>
      <c r="AC154" s="163">
        <v>0.69730000000000003</v>
      </c>
      <c r="AD154" s="163">
        <v>0.61638999999999999</v>
      </c>
      <c r="AE154" s="163">
        <v>0.56888000000000005</v>
      </c>
      <c r="AF154" s="163">
        <v>-0.55101999999999995</v>
      </c>
      <c r="AG154" s="163">
        <v>-2</v>
      </c>
      <c r="AH154" s="163">
        <v>0.662748</v>
      </c>
      <c r="AI154" s="163">
        <v>0.77625100000000002</v>
      </c>
      <c r="AJ154" s="163">
        <v>1.5131E-2</v>
      </c>
      <c r="AK154" s="163">
        <v>0.52052500000000002</v>
      </c>
    </row>
    <row r="155" spans="1:37" ht="15.75" thickBot="1" x14ac:dyDescent="0.3">
      <c r="A155" s="206" t="s">
        <v>459</v>
      </c>
      <c r="B155" s="182">
        <v>5</v>
      </c>
      <c r="C155" s="164">
        <v>773.12</v>
      </c>
      <c r="D155" s="165">
        <v>56.18</v>
      </c>
      <c r="E155" s="165">
        <v>3.73</v>
      </c>
      <c r="F155" s="165">
        <v>0.56000000000000005</v>
      </c>
      <c r="G155" s="209">
        <f t="shared" si="0"/>
        <v>16.085790884718499</v>
      </c>
      <c r="H155" s="165">
        <v>2.1295204318000001</v>
      </c>
      <c r="I155" s="165">
        <v>1.5114389396000001</v>
      </c>
      <c r="J155" s="165">
        <v>1.4089358001000001</v>
      </c>
      <c r="K155" s="165">
        <v>79.17</v>
      </c>
      <c r="L155" s="166">
        <v>0.39889000000000002</v>
      </c>
      <c r="M155" s="166">
        <v>2.2300000000000002E-3</v>
      </c>
      <c r="N155" s="166">
        <v>0.32347999999999999</v>
      </c>
      <c r="O155" s="166">
        <v>8.5459999999999994E-2</v>
      </c>
      <c r="P155" s="166">
        <v>8.5459999999999994E-2</v>
      </c>
      <c r="Q155" s="166">
        <v>0</v>
      </c>
      <c r="R155" s="166">
        <v>0</v>
      </c>
      <c r="S155" s="166">
        <v>0</v>
      </c>
      <c r="T155" s="166">
        <v>0.18217</v>
      </c>
      <c r="U155" s="166">
        <v>0</v>
      </c>
      <c r="V155" s="166">
        <v>0.2525</v>
      </c>
      <c r="W155" s="166">
        <v>0.16422</v>
      </c>
      <c r="X155" s="166">
        <v>0.27761999999999998</v>
      </c>
      <c r="Y155" s="166">
        <v>1.6230000000000001E-2</v>
      </c>
      <c r="Z155" s="166">
        <v>1.6800000000000001E-3</v>
      </c>
      <c r="AA155" s="166">
        <v>1.1199999999999999E-3</v>
      </c>
      <c r="AB155" s="166">
        <v>0.56479999999999997</v>
      </c>
      <c r="AC155" s="166">
        <v>0.70240000000000002</v>
      </c>
      <c r="AD155" s="166">
        <v>0.60931000000000002</v>
      </c>
      <c r="AE155" s="166">
        <v>0.55903999999999998</v>
      </c>
      <c r="AF155" s="166">
        <v>-0.29355999999999999</v>
      </c>
      <c r="AG155" s="166">
        <v>-1.8245610000000001</v>
      </c>
      <c r="AH155" s="166">
        <v>0.66013100000000002</v>
      </c>
      <c r="AI155" s="166">
        <v>0.79312899999999997</v>
      </c>
      <c r="AJ155" s="166">
        <v>4.9022999999999997E-2</v>
      </c>
      <c r="AK155" s="166">
        <v>0.52347200000000005</v>
      </c>
    </row>
  </sheetData>
  <sortState ref="A2:AK122">
    <sortCondition ref="B2:B122"/>
    <sortCondition ref="A2:A122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Gesamttabelle_aktuell_1</vt:lpstr>
      <vt:lpstr>Gesamttabelle_aktuell_1 (2)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Schulz, Steffen</cp:lastModifiedBy>
  <dcterms:created xsi:type="dcterms:W3CDTF">2011-08-01T14:22:18Z</dcterms:created>
  <dcterms:modified xsi:type="dcterms:W3CDTF">2026-04-01T13:16:43Z</dcterms:modified>
</cp:coreProperties>
</file>